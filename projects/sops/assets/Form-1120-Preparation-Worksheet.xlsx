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0-Client" sheetId="2" state="visible" r:id="rId2"/>
    <sheet name="1-TrialBalance" sheetId="3" state="visible" r:id="rId3"/>
    <sheet name="2-Page1" sheetId="4" state="visible" r:id="rId4"/>
    <sheet name="3-SchC" sheetId="5" state="visible" r:id="rId5"/>
    <sheet name="4-SchD" sheetId="6" state="visible" r:id="rId6"/>
    <sheet name="5-Investments" sheetId="7" state="visible" r:id="rId7"/>
    <sheet name="6-SchJ" sheetId="8" state="visible" r:id="rId8"/>
    <sheet name="7-SchK" sheetId="9" state="visible" r:id="rId9"/>
    <sheet name="8-SchL" sheetId="10" state="visible" r:id="rId10"/>
    <sheet name="9-SchM1" sheetId="11" state="visible" r:id="rId11"/>
    <sheet name="10-SchM2" sheetId="12" state="visible" r:id="rId12"/>
    <sheet name="11-TieOuts" sheetId="13" state="visible" r:id="rId13"/>
    <sheet name="12-CarryForwar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$#,##0.00;($#,##0.00);&quot;—&quot;"/>
    <numFmt numFmtId="166" formatCode="0.0%"/>
  </numFmts>
  <fonts count="14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i val="1"/>
      <color rgb="FFECE6DA"/>
      <sz val="9"/>
    </font>
    <font>
      <name val="Arial"/>
      <b val="1"/>
      <color rgb="FF0D2A31"/>
      <sz val="11"/>
    </font>
    <font>
      <name val="Arial"/>
      <color rgb="FF0D2A31"/>
      <sz val="10"/>
    </font>
    <font>
      <name val="Arial"/>
      <b val="1"/>
      <color rgb="FF0D2A31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b val="1"/>
      <color rgb="FFC0392B"/>
      <sz val="10"/>
    </font>
    <font>
      <name val="Arial"/>
      <b val="1"/>
      <color rgb="FFFFFFFF"/>
      <sz val="10"/>
    </font>
    <font>
      <name val="Arial"/>
      <i val="1"/>
      <color rgb="FF6F6857"/>
      <sz val="9"/>
    </font>
    <font>
      <name val="Arial"/>
      <b val="1"/>
      <color rgb="FF0D2A31"/>
      <sz val="9"/>
    </font>
    <font>
      <name val="Arial"/>
      <color rgb="FF6F6857"/>
      <sz val="9"/>
    </font>
    <font>
      <name val="Arial"/>
      <b val="1"/>
      <color rgb="FF008000"/>
      <sz val="10"/>
    </font>
  </fonts>
  <fills count="6">
    <fill>
      <patternFill/>
    </fill>
    <fill>
      <patternFill patternType="gray125"/>
    </fill>
    <fill>
      <patternFill patternType="solid">
        <fgColor rgb="FF123841"/>
      </patternFill>
    </fill>
    <fill>
      <patternFill patternType="solid">
        <fgColor rgb="FFFFF2CC"/>
      </patternFill>
    </fill>
    <fill>
      <patternFill patternType="solid">
        <fgColor rgb="FF9C6A39"/>
      </patternFill>
    </fill>
    <fill>
      <patternFill patternType="solid">
        <fgColor rgb="FFDAD4C6"/>
      </patternFill>
    </fill>
  </fills>
  <borders count="6">
    <border>
      <left/>
      <right/>
      <top/>
      <bottom/>
      <diagonal/>
    </border>
    <border>
      <left style="thin">
        <color rgb="FFDAD4C6"/>
      </left>
      <right style="thin">
        <color rgb="FFDAD4C6"/>
      </right>
      <top style="thin">
        <color rgb="FFDAD4C6"/>
      </top>
      <bottom style="thin">
        <color rgb="FFDAD4C6"/>
      </bottom>
    </border>
    <border>
      <left/>
      <right/>
      <top style="thin">
        <color rgb="FFDAD4C6"/>
      </top>
      <bottom/>
      <diagonal/>
    </border>
    <border>
      <left/>
      <right style="thin">
        <color rgb="FFDAD4C6"/>
      </right>
      <top style="thin">
        <color rgb="FFDAD4C6"/>
      </top>
      <bottom/>
      <diagonal/>
    </border>
    <border>
      <left/>
      <right/>
      <top style="thin">
        <color rgb="FFDAD4C6"/>
      </top>
      <bottom style="thin">
        <color rgb="FFDAD4C6"/>
      </bottom>
      <diagonal/>
    </border>
    <border>
      <left/>
      <right style="thin">
        <color rgb="FFDAD4C6"/>
      </right>
      <top style="thin">
        <color rgb="FFDAD4C6"/>
      </top>
      <bottom style="thin">
        <color rgb="FFDAD4C6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center" indent="1"/>
    </xf>
    <xf numFmtId="0" fontId="9" fillId="5" borderId="0" applyAlignment="1" pivotButton="0" quotePrefix="0" xfId="0">
      <alignment vertical="center" indent="1"/>
    </xf>
    <xf numFmtId="0" fontId="10" fillId="0" borderId="0" pivotButton="0" quotePrefix="0" xfId="0"/>
    <xf numFmtId="0" fontId="8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49" fontId="6" fillId="3" borderId="1" pivotButton="0" quotePrefix="0" xfId="0"/>
    <xf numFmtId="1" fontId="6" fillId="3" borderId="1" pivotButton="0" quotePrefix="0" xfId="0"/>
    <xf numFmtId="164" fontId="6" fillId="3" borderId="1" pivotButton="0" quotePrefix="0" xfId="0"/>
    <xf numFmtId="165" fontId="7" fillId="0" borderId="1" pivotButton="0" quotePrefix="0" xfId="0"/>
    <xf numFmtId="49" fontId="5" fillId="0" borderId="1" pivotButton="0" quotePrefix="0" xfId="0"/>
    <xf numFmtId="165" fontId="6" fillId="3" borderId="1" pivotButton="0" quotePrefix="0" xfId="0"/>
    <xf numFmtId="0" fontId="11" fillId="0" borderId="0" pivotButton="0" quotePrefix="0" xfId="0"/>
    <xf numFmtId="0" fontId="9" fillId="2" borderId="1" pivotButton="0" quotePrefix="0" xfId="0"/>
    <xf numFmtId="165" fontId="5" fillId="0" borderId="1" pivotButton="0" quotePrefix="0" xfId="0"/>
    <xf numFmtId="1" fontId="8" fillId="0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0" fontId="12" fillId="0" borderId="1" applyAlignment="1" pivotButton="0" quotePrefix="0" xfId="0">
      <alignment horizontal="center"/>
    </xf>
    <xf numFmtId="0" fontId="10" fillId="0" borderId="1" pivotButton="0" quotePrefix="0" xfId="0"/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applyAlignment="1" pivotButton="0" quotePrefix="0" xfId="0">
      <alignment horizontal="center"/>
    </xf>
    <xf numFmtId="165" fontId="13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5" borderId="0" pivotButton="0" quotePrefix="0" xfId="0"/>
    <xf numFmtId="49" fontId="8" fillId="5" borderId="1" pivotButton="0" quotePrefix="0" xfId="0"/>
    <xf numFmtId="166" fontId="4" fillId="0" borderId="1" applyAlignment="1" pivotButton="0" quotePrefix="0" xfId="0">
      <alignment horizontal="center"/>
    </xf>
    <xf numFmtId="0" fontId="1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0" fontId="5" fillId="5" borderId="1" pivotButton="0" quotePrefix="0" xfId="0"/>
    <xf numFmtId="1" fontId="4" fillId="0" borderId="1" pivotButton="0" quotePrefix="0" xfId="0"/>
    <xf numFmtId="0" fontId="8" fillId="0" borderId="1" pivotButton="0" quotePrefix="0" xfId="0"/>
    <xf numFmtId="49" fontId="5" fillId="0" borderId="1" applyAlignment="1" pivotButton="0" quotePrefix="0" xfId="0">
      <alignment horizontal="center"/>
    </xf>
    <xf numFmtId="0" fontId="4" fillId="2" borderId="1" pivotButton="0" quotePrefix="0" xfId="0"/>
    <xf numFmtId="166" fontId="6" fillId="3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JK Accounting Group</author>
  </authors>
  <commentList>
    <comment ref="C22" authorId="0" shapeId="0">
      <text>
        <t>Total unused corporate capital losses from prior years. NOT on the prior return if there were no gains — take it from last year's working paper.</t>
      </text>
    </comment>
    <comment ref="C23" authorId="0" shapeId="0">
      <text>
        <t>A corporate capital loss expires after 5 years. Oldest first.</t>
      </text>
    </comment>
    <comment ref="C25" authorId="0" shapeId="0">
      <text>
        <t>The prior year's closing mark. Tab 5 cross-checks this year against it.</t>
      </text>
    </comment>
    <comment ref="C26" authorId="0" shapeId="0">
      <text>
        <t>Schedule L line 25, ending column, of last year's return. This is Schedule M-2 line 1 — never recalculate it from the books.</t>
      </text>
    </comment>
    <comment ref="C27" authorId="0" shapeId="0">
      <text>
        <t>Schedule L total assets, ending column. Becomes this year's BEGINNING column.</t>
      </text>
    </comment>
  </commentList>
</comments>
</file>

<file path=xl/comments/comment2.xml><?xml version="1.0" encoding="utf-8"?>
<comments xmlns="http://schemas.openxmlformats.org/spreadsheetml/2006/main">
  <authors>
    <author>JK Accounting Group</author>
  </authors>
  <commentList>
    <comment ref="D39" authorId="0" shapeId="0">
      <text>
        <t>Post-2017 NOLs are limited to 80% of taxable income. Verify the limit for this year before entering.</t>
      </text>
    </comment>
  </commentList>
</comments>
</file>

<file path=xl/comments/comment3.xml><?xml version="1.0" encoding="utf-8"?>
<comments xmlns="http://schemas.openxmlformats.org/spreadsheetml/2006/main">
  <authors>
    <author>JK Accounting Group</author>
  </authors>
  <commentList>
    <comment ref="D6" authorId="0" shapeId="0">
      <text>
        <t>Add box 1a across every account. Tab 5 gives this figure if the client holds a brokerage account.</t>
      </text>
    </comment>
    <comment ref="D7" authorId="0" shapeId="0">
      <text>
        <t>The statement names the strategy. A US equity strategy is the candidate; a cash or short-duration fund strategy is essentially never.</t>
      </text>
    </comment>
    <comment ref="D8" authorId="0" shapeId="0">
      <text>
        <t>NOT on the consolidated 1099. It comes from the fund's tax-information letter or from asking the broker. Leave blank until you have an answer.</t>
      </text>
    </comment>
    <comment ref="D9" authorId="0" shapeId="0">
      <text>
        <t>The stock must be held more than 45 days in the 91-day period beginning 45 days before the ex-dividend date. A portfolio rebuilt late in the year is exactly where this fails.</t>
      </text>
    </comment>
    <comment ref="D10" authorId="0" shapeId="0">
      <text>
        <t>65% instead of 50%. Rare for a portfolio holding; usually zero.</t>
      </text>
    </comment>
    <comment ref="D11" authorId="0" shapeId="0">
      <text>
        <t>An untaken deduction WITH a reason is a decision. Without one it is next year's repeat.</t>
      </text>
    </comment>
  </commentList>
</comments>
</file>

<file path=xl/comments/comment4.xml><?xml version="1.0" encoding="utf-8"?>
<comments xmlns="http://schemas.openxmlformats.org/spreadsheetml/2006/main">
  <authors>
    <author>JK Accounting Group</author>
  </authors>
  <commentList>
    <comment ref="F8" authorId="0" shapeId="0">
      <text>
        <t>Form 8949 column (g) — wash-sale disallowances and any other adjustment. A DISALLOWED WASH-SALE LOSS is a POSITIVE number here: it adds the loss back. Code W on the 8949. Leave blank if there are none.</t>
      </text>
    </comment>
    <comment ref="F9" authorId="0" shapeId="0">
      <text>
        <t>Form 8949 column (g) — wash-sale disallowances and any other adjustment. A DISALLOWED WASH-SALE LOSS is a POSITIVE number here: it adds the loss back. Code W on the 8949. Leave blank if there are none.</t>
      </text>
    </comment>
    <comment ref="F10" authorId="0" shapeId="0">
      <text>
        <t>Form 8949 column (g) — wash-sale disallowances and any other adjustment. A DISALLOWED WASH-SALE LOSS is a POSITIVE number here: it adds the loss back. Code W on the 8949. Leave blank if there are none.</t>
      </text>
    </comment>
    <comment ref="F11" authorId="0" shapeId="0">
      <text>
        <t>Form 8949 column (g) — wash-sale disallowances and any other adjustment. A DISALLOWED WASH-SALE LOSS is a POSITIVE number here: it adds the loss back. Code W on the 8949. Leave blank if there are none.</t>
      </text>
    </comment>
    <comment ref="G14" authorId="0" shapeId="0">
      <text>
        <t>Enter as a NEGATIVE, and only up to the gains available to absorb it — the pool block below computes how much that is.</t>
      </text>
    </comment>
    <comment ref="F19" authorId="0" shapeId="0">
      <text>
        <t>Form 8949 column (g) — wash-sale disallowances and any other adjustment. A DISALLOWED WASH-SALE LOSS is a POSITIVE number here: it adds the loss back. Code W on the 8949. Leave blank if there are none.</t>
      </text>
    </comment>
    <comment ref="F20" authorId="0" shapeId="0">
      <text>
        <t>Form 8949 column (g) — wash-sale disallowances and any other adjustment. A DISALLOWED WASH-SALE LOSS is a POSITIVE number here: it adds the loss back. Code W on the 8949. Leave blank if there are none.</t>
      </text>
    </comment>
    <comment ref="F21" authorId="0" shapeId="0">
      <text>
        <t>Form 8949 column (g) — wash-sale disallowances and any other adjustment. A DISALLOWED WASH-SALE LOSS is a POSITIVE number here: it adds the loss back. Code W on the 8949. Leave blank if there are none.</t>
      </text>
    </comment>
    <comment ref="F22" authorId="0" shapeId="0">
      <text>
        <t>Form 8949 column (g) — wash-sale disallowances and any other adjustment. A DISALLOWED WASH-SALE LOSS is a POSITIVE number here: it adds the loss back. Code W on the 8949. Leave blank if there are none.</t>
      </text>
    </comment>
  </commentList>
</comments>
</file>

<file path=xl/comments/comment5.xml><?xml version="1.0" encoding="utf-8"?>
<comments xmlns="http://schemas.openxmlformats.org/spreadsheetml/2006/main">
  <authors>
    <author>JK Accounting Group</author>
  </authors>
  <commentList>
    <comment ref="D9" authorId="0" shapeId="0">
      <text>
        <t>ORIGINAL, or CORRECTED with its date. A corrected 1099 can arrive weeks after the original.</t>
      </text>
    </comment>
    <comment ref="E28" authorId="0" shapeId="0">
      <text>
        <t>From the 1099-B totals summary of every account. Enter a LOSS as a negative. Wash sales are already inside the reported figure — do not adjust again.</t>
      </text>
    </comment>
    <comment ref="E35" authorId="0" shapeId="0">
      <text>
        <t>The December statement's Unrealized Gain/Loss Summary — short-term plus long-term, all accounts.</t>
      </text>
    </comment>
    <comment ref="C46" authorId="0" shapeId="0">
      <text>
        <t>Date posted, or 'proposed — not posted' with who has to approve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20" customWidth="1" min="3" max="3"/>
    <col width="20" customWidth="1" min="4" max="4"/>
    <col width="20" customWidth="1" min="5" max="5"/>
    <col width="20" customWidth="1" min="6" max="6"/>
    <col width="52" customWidth="1" min="7" max="7"/>
  </cols>
  <sheetData>
    <row r="1" ht="30" customHeight="1">
      <c r="A1" s="1" t="inlineStr">
        <is>
          <t>Form 1120 — preparation worksheet</t>
        </is>
      </c>
    </row>
    <row r="2" ht="16" customHeight="1">
      <c r="A2" s="2" t="inlineStr">
        <is>
          <t>JK Accounting Group · a C-corporation return, from the trial balance to the tie-outs</t>
        </is>
      </c>
    </row>
    <row r="4">
      <c r="B4" s="3" t="inlineStr">
        <is>
          <t>What this is</t>
        </is>
      </c>
    </row>
    <row r="5" ht="44" customHeight="1">
      <c r="B5" s="4" t="inlineStr">
        <is>
          <t>One workbook per client, per year. Copy it, rename it &lt;Client&gt;-1120-&lt;Year&gt;.xlsx, and fill in only the shaded cells. Everything else computes. It does not file anything and it is not the return — it is the working sheet you prepare FROM, and the record of how each figure was reached.</t>
        </is>
      </c>
    </row>
    <row r="7">
      <c r="B7" s="3" t="inlineStr">
        <is>
          <t>Fill in the shaded cells only</t>
        </is>
      </c>
    </row>
    <row r="8">
      <c r="B8" s="5" t="inlineStr">
        <is>
          <t>Input</t>
        </is>
      </c>
      <c r="C8" s="6" t="inlineStr">
        <is>
          <t>A figure you type. Shaded, blue text.</t>
        </is>
      </c>
    </row>
    <row r="9">
      <c r="B9" s="7" t="inlineStr">
        <is>
          <t>Computed</t>
        </is>
      </c>
      <c r="C9" s="8" t="inlineStr">
        <is>
          <t>A formula. Leave it alone — overtyping one is how a workbook starts lying.</t>
        </is>
      </c>
    </row>
    <row r="10">
      <c r="B10" s="7" t="inlineStr">
        <is>
          <t>From another tab</t>
        </is>
      </c>
      <c r="C10" s="9" t="inlineStr">
        <is>
          <t>Pulled from elsewhere in this workbook. Green.</t>
        </is>
      </c>
    </row>
    <row r="11">
      <c r="B11" s="7" t="inlineStr">
        <is>
          <t>CHECK</t>
        </is>
      </c>
      <c r="C11" s="10" t="inlineStr">
        <is>
          <t>A tie-out that has not passed. Never file with one showing.</t>
        </is>
      </c>
    </row>
    <row r="13">
      <c r="B13" s="3" t="inlineStr">
        <is>
          <t>The order of work</t>
        </is>
      </c>
    </row>
    <row r="14" ht="38" customHeight="1">
      <c r="B14" s="7" t="inlineStr">
        <is>
          <t>1.  0 · Client</t>
        </is>
      </c>
      <c r="C14" s="4" t="inlineStr">
        <is>
          <t>Entity details, and the three toggles that decide whether Schedules L, M-1, M-2 and M-3 are even required. Prior-year carryforwards go here — they are the opening position and nothing else supplies them.</t>
        </is>
      </c>
    </row>
    <row r="15" ht="38" customHeight="1">
      <c r="B15" s="7" t="inlineStr">
        <is>
          <t>2.  1 · Trial balance</t>
        </is>
      </c>
      <c r="C15" s="4" t="inlineStr">
        <is>
          <t>Paste the year's trial balance and map each account to a destination code. Everything on Page 1 is a SUMIF over this tab, so a mis-mapped account is a wrong return, not a wrong worksheet.</t>
        </is>
      </c>
    </row>
    <row r="16" ht="38" customHeight="1">
      <c r="B16" s="7" t="inlineStr">
        <is>
          <t>3.  5 · Investments</t>
        </is>
      </c>
      <c r="C16" s="4" t="inlineStr">
        <is>
          <t>Do this BEFORE Schedules C and D if the client holds a brokerage account — it produces the dividend, realized and unrealized figures those tabs need.</t>
        </is>
      </c>
    </row>
    <row r="17" ht="26" customHeight="1">
      <c r="B17" s="7" t="inlineStr">
        <is>
          <t>4.  3 · Schedule C</t>
        </is>
      </c>
      <c r="C17" s="4" t="inlineStr">
        <is>
          <t>Dividends, and the deduction most easily missed.</t>
        </is>
      </c>
    </row>
    <row r="18" ht="26" customHeight="1">
      <c r="B18" s="7" t="inlineStr">
        <is>
          <t>5.  4 · Schedule D</t>
        </is>
      </c>
      <c r="C18" s="4" t="inlineStr">
        <is>
          <t>Capital gains and losses, and the loss pool the filed return will not record.</t>
        </is>
      </c>
    </row>
    <row r="19" ht="26" customHeight="1">
      <c r="B19" s="7" t="inlineStr">
        <is>
          <t>6.  2 · Page 1</t>
        </is>
      </c>
      <c r="C19" s="4" t="inlineStr">
        <is>
          <t>Income and deductions. Mostly pulls from tabs 1, 3, 4 and 6.</t>
        </is>
      </c>
    </row>
    <row r="20" ht="26" customHeight="1">
      <c r="B20" s="7" t="inlineStr">
        <is>
          <t>7.  6 · Schedule J</t>
        </is>
      </c>
      <c r="C20" s="4" t="inlineStr">
        <is>
          <t>The tax. Flat 21%, less credits, against payments.</t>
        </is>
      </c>
    </row>
    <row r="21" ht="26" customHeight="1">
      <c r="B21" s="7" t="inlineStr">
        <is>
          <t>8.  7–10 · K, L, M-1, M-2</t>
        </is>
      </c>
      <c r="C21" s="4" t="inlineStr">
        <is>
          <t>The questions, the balance sheet, the book-to-tax bridge, retained earnings.</t>
        </is>
      </c>
    </row>
    <row r="22" ht="26" customHeight="1">
      <c r="B22" s="7" t="inlineStr">
        <is>
          <t>9.  11 · Tie-outs</t>
        </is>
      </c>
      <c r="C22" s="4" t="inlineStr">
        <is>
          <t>Every check in one place. All must pass.</t>
        </is>
      </c>
    </row>
    <row r="23" ht="26" customHeight="1">
      <c r="B23" s="7" t="inlineStr">
        <is>
          <t>10.  12 · Carry forward</t>
        </is>
      </c>
      <c r="C23" s="4" t="inlineStr">
        <is>
          <t>What next year needs from this year. Fill it in before you close the file.</t>
        </is>
      </c>
    </row>
    <row r="25" ht="19" customHeight="1">
      <c r="A25" s="11" t="inlineStr">
        <is>
          <t>THREE THINGS THIS WORKSHEET EXISTS TO STOP</t>
        </is>
      </c>
    </row>
    <row r="26" ht="44" customHeight="1">
      <c r="B26" s="10" t="inlineStr">
        <is>
          <t>The dividends-received deduction that never gets taken</t>
        </is>
      </c>
      <c r="C26" s="4" t="inlineStr">
        <is>
          <t>A C-corporation may deduct 50% (or 65%) of dividends from domestic corporations. Schedule C has a catch-all line — Other dividends — that carries no percentage and therefore no deduction, and sending the whole dividend total there is the silent default. Tab 3 will not let it pass unremarked.</t>
        </is>
      </c>
    </row>
    <row r="27" ht="44" customHeight="1">
      <c r="B27" s="10" t="inlineStr">
        <is>
          <t>A corporate capital loss treated as if it were deductible</t>
        </is>
      </c>
      <c r="C27" s="4" t="inlineStr">
        <is>
          <t>It deducts nothing against ordinary income. It carries back 3 years and forward 5 — and Schedule D's carryover line stays BLANK in a year with no gains, so the filed return records the pool nowhere at all. Tab 4 keeps the register; nothing else will.</t>
        </is>
      </c>
    </row>
    <row r="28" ht="44" customHeight="1">
      <c r="B28" s="10" t="inlineStr">
        <is>
          <t>The Schedule M-1 sign trap</t>
        </is>
      </c>
      <c r="C28" s="4" t="inlineStr">
        <is>
          <t>A book unrealized LOSS belongs on line 5; a book unrealized GAIN on line 7. The sign flips between years, so copying last year's placement gives a return that balances internally and is wrong. Tab 9 takes ONE signed figure and puts it on the right line itself.</t>
        </is>
      </c>
    </row>
    <row r="30" ht="19" customHeight="1">
      <c r="A30" s="12" t="inlineStr">
        <is>
          <t>EXAMPLE — the format expected, NOT anybody's data</t>
        </is>
      </c>
    </row>
    <row r="31">
      <c r="B31" s="7" t="inlineStr">
        <is>
          <t>Trial-balance row (tab 1)</t>
        </is>
      </c>
    </row>
    <row r="32">
      <c r="B32" s="13" t="inlineStr">
        <is>
          <t>Account name</t>
        </is>
      </c>
      <c r="C32" s="13" t="inlineStr">
        <is>
          <t>Book amount</t>
        </is>
      </c>
      <c r="D32" s="13" t="inlineStr">
        <is>
          <t>Map code</t>
        </is>
      </c>
      <c r="E32" s="13" t="inlineStr">
        <is>
          <t>Note</t>
        </is>
      </c>
    </row>
    <row r="33">
      <c r="B33" s="13" t="inlineStr">
        <is>
          <t>Sales</t>
        </is>
      </c>
      <c r="C33" s="13" t="inlineStr">
        <is>
          <t>4,222,429.70</t>
        </is>
      </c>
      <c r="D33" s="13" t="inlineStr">
        <is>
          <t>GROSS_RECEIPTS</t>
        </is>
      </c>
      <c r="E33" s="13" t="inlineStr"/>
    </row>
    <row r="34">
      <c r="B34" s="13" t="inlineStr">
        <is>
          <t>Dividend Income</t>
        </is>
      </c>
      <c r="C34" s="13" t="inlineStr">
        <is>
          <t>31,527.68</t>
        </is>
      </c>
      <c r="D34" s="13" t="inlineStr">
        <is>
          <t>DIVIDENDS</t>
        </is>
      </c>
      <c r="E34" s="13" t="inlineStr">
        <is>
          <t>from the brokerage JE</t>
        </is>
      </c>
    </row>
    <row r="35">
      <c r="B35" s="13" t="inlineStr">
        <is>
          <t>Bank Fees &amp; Charges</t>
        </is>
      </c>
      <c r="C35" s="13" t="inlineStr">
        <is>
          <t>12,469.96</t>
        </is>
      </c>
      <c r="D35" s="13" t="inlineStr">
        <is>
          <t>OTHER_DED</t>
        </is>
      </c>
      <c r="E35" s="13" t="inlineStr">
        <is>
          <t>investment management fees</t>
        </is>
      </c>
    </row>
    <row r="36">
      <c r="B36" s="13" t="inlineStr">
        <is>
          <t>Unrealized Gain/Loss</t>
        </is>
      </c>
      <c r="C36" s="13" t="inlineStr">
        <is>
          <t>106,123.84</t>
        </is>
      </c>
      <c r="D36" s="13" t="inlineStr">
        <is>
          <t>NON_TAX</t>
        </is>
      </c>
      <c r="E36" s="13" t="inlineStr">
        <is>
          <t>book only — goes to M-1, tab 9</t>
        </is>
      </c>
    </row>
    <row r="38">
      <c r="B38" s="13" t="inlineStr">
        <is>
          <t>Dates as YYYY-MM-DD · amounts to the cent, no currency symbol typed · a code from the drop-down, never free text.</t>
        </is>
      </c>
    </row>
    <row r="40">
      <c r="B40" s="3" t="inlineStr">
        <is>
          <t>Before you file</t>
        </is>
      </c>
    </row>
    <row r="41" ht="30" customHeight="1">
      <c r="B41" s="14" t="inlineStr">
        <is>
          <t>Line numbers last verified against the 2024 forms · 2026-09-09. Re-verify on irs.gov before entering anything.  The IRS renumbers, and this firm has been caught by it.</t>
        </is>
      </c>
    </row>
    <row r="42" ht="28" customHeight="1">
      <c r="B42" s="15" t="inlineStr">
        <is>
          <t>Client figures live in this workbook and in the client's working paper (projects/tax-returns/). They are never committed to the repo. The blank master is; a filled copy is not.</t>
        </is>
      </c>
    </row>
    <row r="43">
      <c r="B43" s="13" t="inlineStr">
        <is>
          <t>Procedure for the brokerage half: projects/sops/brokerage-investment-accounts.md</t>
        </is>
      </c>
    </row>
  </sheetData>
  <mergeCells count="31">
    <mergeCell ref="B42:G42"/>
    <mergeCell ref="C15:G15"/>
    <mergeCell ref="E34:G34"/>
    <mergeCell ref="C14:G14"/>
    <mergeCell ref="C26:G26"/>
    <mergeCell ref="B38:G38"/>
    <mergeCell ref="C20:G20"/>
    <mergeCell ref="E36:G36"/>
    <mergeCell ref="C10:G10"/>
    <mergeCell ref="C16:G16"/>
    <mergeCell ref="A30:G30"/>
    <mergeCell ref="C22:G22"/>
    <mergeCell ref="C9:G9"/>
    <mergeCell ref="E32:G32"/>
    <mergeCell ref="C21:G21"/>
    <mergeCell ref="A1:G1"/>
    <mergeCell ref="B5:G5"/>
    <mergeCell ref="B41:G41"/>
    <mergeCell ref="C11:G11"/>
    <mergeCell ref="C27:G27"/>
    <mergeCell ref="A25:G25"/>
    <mergeCell ref="C23:G23"/>
    <mergeCell ref="C8:G8"/>
    <mergeCell ref="C17:G17"/>
    <mergeCell ref="E33:G33"/>
    <mergeCell ref="C28:G28"/>
    <mergeCell ref="C19:G19"/>
    <mergeCell ref="A2:G2"/>
    <mergeCell ref="E35:G35"/>
    <mergeCell ref="B43:G43"/>
    <mergeCell ref="C18:G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4" customWidth="1" min="4" max="4"/>
    <col width="46" customWidth="1" min="5" max="5"/>
  </cols>
  <sheetData>
    <row r="1" ht="30" customHeight="1">
      <c r="A1" s="1" t="inlineStr">
        <is>
          <t>0 · Client, year and the toggles</t>
        </is>
      </c>
    </row>
    <row r="2" ht="16" customHeight="1">
      <c r="A2" s="2" t="inlineStr">
        <is>
          <t>Fill this first — three of these cells decide which schedules the return even needs</t>
        </is>
      </c>
    </row>
    <row r="4" ht="19" customHeight="1">
      <c r="A4" s="11" t="inlineStr">
        <is>
          <t>THE ENTITY</t>
        </is>
      </c>
    </row>
    <row r="5">
      <c r="B5" s="8" t="inlineStr">
        <is>
          <t>Client legal name</t>
        </is>
      </c>
      <c r="C5" s="16" t="n"/>
    </row>
    <row r="6">
      <c r="B6" s="8" t="inlineStr">
        <is>
          <t>EIN  (format 12-3456789)</t>
        </is>
      </c>
      <c r="C6" s="16" t="n"/>
    </row>
    <row r="7">
      <c r="B7" s="8" t="inlineStr">
        <is>
          <t>Tax year (calendar year ending 12/31)</t>
        </is>
      </c>
      <c r="C7" s="17" t="n"/>
    </row>
    <row r="8">
      <c r="B8" s="8" t="inlineStr">
        <is>
          <t>Date incorporated</t>
        </is>
      </c>
      <c r="C8" s="18" t="n"/>
    </row>
    <row r="9">
      <c r="B9" s="8" t="inlineStr">
        <is>
          <t>State of incorporation</t>
        </is>
      </c>
      <c r="C9" s="16" t="n"/>
    </row>
    <row r="10">
      <c r="B10" s="8" t="inlineStr">
        <is>
          <t>Prepared by</t>
        </is>
      </c>
      <c r="C10" s="16" t="n"/>
    </row>
    <row r="11">
      <c r="B11" s="8" t="inlineStr">
        <is>
          <t>Date prepared</t>
        </is>
      </c>
      <c r="C11" s="18" t="n"/>
    </row>
    <row r="12">
      <c r="B12" s="8" t="inlineStr">
        <is>
          <t>Reviewed by</t>
        </is>
      </c>
      <c r="C12" s="16" t="n"/>
    </row>
    <row r="14" ht="19" customHeight="1">
      <c r="A14" s="11" t="inlineStr">
        <is>
          <t>THE TOGGLES — what this return has to carry</t>
        </is>
      </c>
    </row>
    <row r="15">
      <c r="B15" s="8" t="inlineStr">
        <is>
          <t>Total assets at end of year  (Schedule L, tab 8)</t>
        </is>
      </c>
      <c r="C15" s="19">
        <f>'8-SchL'!$E$24</f>
        <v/>
      </c>
    </row>
    <row r="16">
      <c r="B16" s="8" t="inlineStr">
        <is>
          <t>Total receipts for the year  (Page 1 line 1c + lines 4 to 10)</t>
        </is>
      </c>
      <c r="C16" s="19">
        <f>'2-Page1'!$D$8+SUM('2-Page1'!$D$11:$D$17)</f>
        <v/>
      </c>
    </row>
    <row r="17" ht="30" customHeight="1">
      <c r="B17" s="7" t="inlineStr">
        <is>
          <t>Schedules L, M-1 and M-2 required?</t>
        </is>
      </c>
      <c r="C17" s="20">
        <f>IF(AND(N('0-Client'!$C$15)&lt;250000,N('0-Client'!$C$16)&lt;250000),"NOT required","REQUIRED")</f>
        <v/>
      </c>
      <c r="E17" s="15" t="inlineStr">
        <is>
          <t>Schedule K asks this. Both under $250,000 and they may be omitted — but the firm fills them anyway when the client has a real balance sheet.</t>
        </is>
      </c>
    </row>
    <row r="18">
      <c r="B18" s="7" t="inlineStr">
        <is>
          <t>Schedule M-3 instead of M-1?</t>
        </is>
      </c>
      <c r="C18" s="20">
        <f>IF(N('0-Client'!$C$15)&gt;=10000000,"M-3 REQUIRED","M-1")</f>
        <v/>
      </c>
      <c r="E18" s="15" t="inlineStr">
        <is>
          <t>M-3 replaces M-1 at $10 million of total assets. This workbook builds M-1 only.</t>
        </is>
      </c>
    </row>
    <row r="20" ht="19" customHeight="1">
      <c r="A20" s="11" t="inlineStr">
        <is>
          <t>OPENING POSITION — from LAST year's FILED return, not from the books</t>
        </is>
      </c>
    </row>
    <row r="21" ht="28" customHeight="1">
      <c r="B21" s="15" t="inlineStr">
        <is>
          <t>Where these differ from QuickBooks, the FILED RETURN governs, and the difference is written into the working paper so nobody re-derives it next year.</t>
        </is>
      </c>
    </row>
    <row r="22">
      <c r="B22" s="8" t="inlineStr">
        <is>
          <t>Capital-loss pool brought forward</t>
        </is>
      </c>
      <c r="C22" s="21" t="n"/>
    </row>
    <row r="23">
      <c r="B23" s="8" t="inlineStr">
        <is>
          <t>Earliest year in that pool (for the 5-year expiry)</t>
        </is>
      </c>
      <c r="C23" s="17" t="n"/>
    </row>
    <row r="24">
      <c r="B24" s="8" t="inlineStr">
        <is>
          <t>NOL carryforward available</t>
        </is>
      </c>
      <c r="C24" s="21" t="n"/>
    </row>
    <row r="25">
      <c r="B25" s="8" t="inlineStr">
        <is>
          <t>Cumulative unrealized gain/(loss) on investments at 1 Jan</t>
        </is>
      </c>
      <c r="C25" s="21" t="n"/>
    </row>
    <row r="26">
      <c r="B26" s="8" t="inlineStr">
        <is>
          <t>Retained earnings, END of last year, PER THE FILED RETURN</t>
        </is>
      </c>
      <c r="C26" s="21" t="n"/>
    </row>
    <row r="27">
      <c r="B27" s="8" t="inlineStr">
        <is>
          <t>Total assets, END of last year, PER THE FILED RETURN</t>
        </is>
      </c>
      <c r="C27" s="21" t="n"/>
    </row>
    <row r="28">
      <c r="B28" s="8" t="inlineStr">
        <is>
          <t>Federal income tax PAID during the year (estimates + extension)</t>
        </is>
      </c>
      <c r="C28" s="21" t="n"/>
    </row>
    <row r="29">
      <c r="B29" s="8" t="inlineStr">
        <is>
          <t>Overpayment credited forward from last year</t>
        </is>
      </c>
      <c r="C29" s="21" t="n"/>
    </row>
    <row r="31" ht="19" customHeight="1">
      <c r="A31" s="12" t="inlineStr">
        <is>
          <t>THE STANDING WARNING</t>
        </is>
      </c>
    </row>
    <row r="32" ht="30" customHeight="1">
      <c r="B32" s="14" t="inlineStr">
        <is>
          <t>Line numbers last verified against the 2024 forms · 2026-09-09. Re-verify on irs.gov before entering anything.</t>
        </is>
      </c>
    </row>
  </sheetData>
  <mergeCells count="8">
    <mergeCell ref="A4:E4"/>
    <mergeCell ref="A20:E20"/>
    <mergeCell ref="A2:E2"/>
    <mergeCell ref="B21:E21"/>
    <mergeCell ref="A1:E1"/>
    <mergeCell ref="A14:E14"/>
    <mergeCell ref="A31:E31"/>
    <mergeCell ref="B32:E3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24" customWidth="1" min="4" max="4"/>
    <col width="44" customWidth="1" min="5" max="5"/>
  </cols>
  <sheetData>
    <row r="1" ht="30" customHeight="1">
      <c r="A1" s="1" t="inlineStr">
        <is>
          <t>1 · Trial balance → where each account goes</t>
        </is>
      </c>
    </row>
    <row r="2" ht="16" customHeight="1">
      <c r="A2" s="2" t="inlineStr">
        <is>
          <t>Everything on Page 1 is a SUMIF over this tab. A mis-mapped account is a wrong return.</t>
        </is>
      </c>
    </row>
    <row r="4" ht="19" customHeight="1">
      <c r="A4" s="11" t="inlineStr">
        <is>
          <t>THE MAP CODES</t>
        </is>
      </c>
    </row>
    <row r="5">
      <c r="B5" s="3" t="inlineStr">
        <is>
          <t>Code</t>
        </is>
      </c>
      <c r="C5" s="3" t="inlineStr">
        <is>
          <t>Goes to</t>
        </is>
      </c>
    </row>
    <row r="6">
      <c r="B6" s="22" t="inlineStr">
        <is>
          <t>GROSS_RECEIPTS</t>
        </is>
      </c>
      <c r="C6" s="13" t="inlineStr">
        <is>
          <t>Page 1 line 1a — gross receipts or sales</t>
        </is>
      </c>
    </row>
    <row r="7">
      <c r="B7" s="22" t="inlineStr">
        <is>
          <t>RETURNS</t>
        </is>
      </c>
      <c r="C7" s="13" t="inlineStr">
        <is>
          <t>Page 1 line 1b — returns and allowances</t>
        </is>
      </c>
    </row>
    <row r="8">
      <c r="B8" s="22" t="inlineStr">
        <is>
          <t>COGS</t>
        </is>
      </c>
      <c r="C8" s="13" t="inlineStr">
        <is>
          <t>Page 1 line 2 — cost of goods sold (Form 1125-A)</t>
        </is>
      </c>
    </row>
    <row r="9">
      <c r="B9" s="22" t="inlineStr">
        <is>
          <t>DIVIDENDS</t>
        </is>
      </c>
      <c r="C9" s="13" t="inlineStr">
        <is>
          <t>Page 1 line 4 — via Schedule C (tab 3)</t>
        </is>
      </c>
    </row>
    <row r="10">
      <c r="B10" s="22" t="inlineStr">
        <is>
          <t>INTEREST</t>
        </is>
      </c>
      <c r="C10" s="13" t="inlineStr">
        <is>
          <t>Page 1 line 5 — interest income</t>
        </is>
      </c>
    </row>
    <row r="11">
      <c r="B11" s="22" t="inlineStr">
        <is>
          <t>GROSS_RENTS</t>
        </is>
      </c>
      <c r="C11" s="13" t="inlineStr">
        <is>
          <t>Page 1 line 6</t>
        </is>
      </c>
    </row>
    <row r="12">
      <c r="B12" s="22" t="inlineStr">
        <is>
          <t>ROYALTIES</t>
        </is>
      </c>
      <c r="C12" s="13" t="inlineStr">
        <is>
          <t>Page 1 line 7</t>
        </is>
      </c>
    </row>
    <row r="13">
      <c r="B13" s="22" t="inlineStr">
        <is>
          <t>CAPGAIN</t>
        </is>
      </c>
      <c r="C13" s="13" t="inlineStr">
        <is>
          <t>Page 1 line 8 — via Schedule D (tab 4)</t>
        </is>
      </c>
    </row>
    <row r="14">
      <c r="B14" s="22" t="inlineStr">
        <is>
          <t>F4797</t>
        </is>
      </c>
      <c r="C14" s="13" t="inlineStr">
        <is>
          <t>Page 1 line 9 — Form 4797</t>
        </is>
      </c>
    </row>
    <row r="15">
      <c r="B15" s="22" t="inlineStr">
        <is>
          <t>OTHER_INC</t>
        </is>
      </c>
      <c r="C15" s="13" t="inlineStr">
        <is>
          <t>Page 1 line 10 — other income (needs a statement)</t>
        </is>
      </c>
    </row>
    <row r="16">
      <c r="B16" s="22" t="inlineStr">
        <is>
          <t>OFFICER_COMP</t>
        </is>
      </c>
      <c r="C16" s="13" t="inlineStr">
        <is>
          <t>Page 1 line 12 — Form 1125-E</t>
        </is>
      </c>
    </row>
    <row r="17">
      <c r="B17" s="22" t="inlineStr">
        <is>
          <t>SALARIES</t>
        </is>
      </c>
      <c r="C17" s="13" t="inlineStr">
        <is>
          <t>Page 1 line 13</t>
        </is>
      </c>
    </row>
    <row r="18">
      <c r="B18" s="22" t="inlineStr">
        <is>
          <t>REPAIRS</t>
        </is>
      </c>
      <c r="C18" s="13" t="inlineStr">
        <is>
          <t>Page 1 line 14</t>
        </is>
      </c>
    </row>
    <row r="19">
      <c r="B19" s="22" t="inlineStr">
        <is>
          <t>BADDEBT</t>
        </is>
      </c>
      <c r="C19" s="13" t="inlineStr">
        <is>
          <t>Page 1 line 15</t>
        </is>
      </c>
    </row>
    <row r="20">
      <c r="B20" s="22" t="inlineStr">
        <is>
          <t>RENTS</t>
        </is>
      </c>
      <c r="C20" s="13" t="inlineStr">
        <is>
          <t>Page 1 line 16</t>
        </is>
      </c>
    </row>
    <row r="21">
      <c r="B21" s="22" t="inlineStr">
        <is>
          <t>TAXES_LIC</t>
        </is>
      </c>
      <c r="C21" s="13" t="inlineStr">
        <is>
          <t>Page 1 line 17</t>
        </is>
      </c>
    </row>
    <row r="22">
      <c r="B22" s="22" t="inlineStr">
        <is>
          <t>INT_EXP</t>
        </is>
      </c>
      <c r="C22" s="13" t="inlineStr">
        <is>
          <t>Page 1 line 18</t>
        </is>
      </c>
    </row>
    <row r="23">
      <c r="B23" s="22" t="inlineStr">
        <is>
          <t>CHARITY</t>
        </is>
      </c>
      <c r="C23" s="13" t="inlineStr">
        <is>
          <t>Page 1 line 19 — 10% limit applies</t>
        </is>
      </c>
    </row>
    <row r="24">
      <c r="B24" s="22" t="inlineStr">
        <is>
          <t>DEPREC</t>
        </is>
      </c>
      <c r="C24" s="13" t="inlineStr">
        <is>
          <t>Page 1 line 20 — Form 4562</t>
        </is>
      </c>
    </row>
    <row r="25">
      <c r="B25" s="22" t="inlineStr">
        <is>
          <t>DEPLETION</t>
        </is>
      </c>
      <c r="C25" s="13" t="inlineStr">
        <is>
          <t>Page 1 line 21</t>
        </is>
      </c>
    </row>
    <row r="26">
      <c r="B26" s="22" t="inlineStr">
        <is>
          <t>ADVERTISING</t>
        </is>
      </c>
      <c r="C26" s="13" t="inlineStr">
        <is>
          <t>Page 1 line 22</t>
        </is>
      </c>
    </row>
    <row r="27">
      <c r="B27" s="22" t="inlineStr">
        <is>
          <t>PENSION</t>
        </is>
      </c>
      <c r="C27" s="13" t="inlineStr">
        <is>
          <t>Page 1 line 23</t>
        </is>
      </c>
    </row>
    <row r="28">
      <c r="B28" s="22" t="inlineStr">
        <is>
          <t>BENEFITS</t>
        </is>
      </c>
      <c r="C28" s="13" t="inlineStr">
        <is>
          <t>Page 1 line 24</t>
        </is>
      </c>
    </row>
    <row r="29">
      <c r="B29" s="22" t="inlineStr">
        <is>
          <t>OTHER_DED</t>
        </is>
      </c>
      <c r="C29" s="13" t="inlineStr">
        <is>
          <t>Page 1 line 26 — other deductions (needs a statement)</t>
        </is>
      </c>
    </row>
    <row r="30">
      <c r="B30" s="22" t="inlineStr">
        <is>
          <t>FED_TAX</t>
        </is>
      </c>
      <c r="C30" s="13" t="inlineStr">
        <is>
          <t>Federal income tax per books — M-1 line 2, NOT a deduction</t>
        </is>
      </c>
    </row>
    <row r="31">
      <c r="B31" s="22" t="inlineStr">
        <is>
          <t>NON_TAX</t>
        </is>
      </c>
      <c r="C31" s="13" t="inlineStr">
        <is>
          <t>Book only — never on the return. Goes to M-1 (tab 9)</t>
        </is>
      </c>
    </row>
    <row r="32">
      <c r="B32" s="22" t="inlineStr">
        <is>
          <t>BALANCE_SHEET</t>
        </is>
      </c>
      <c r="C32" s="13" t="inlineStr">
        <is>
          <t>An asset or liability — Schedule L (tab 8)</t>
        </is>
      </c>
    </row>
    <row r="33">
      <c r="B33" s="22" t="inlineStr">
        <is>
          <t>EQUITY</t>
        </is>
      </c>
      <c r="C33" s="13" t="inlineStr">
        <is>
          <t>Equity — Schedule L and M-2</t>
        </is>
      </c>
    </row>
    <row r="34">
      <c r="B34" s="22" t="inlineStr">
        <is>
          <t>EXCLUDE</t>
        </is>
      </c>
      <c r="C34" s="13" t="inlineStr">
        <is>
          <t>Deliberately excluded. Say why in the note.</t>
        </is>
      </c>
    </row>
    <row r="36" ht="19" customHeight="1">
      <c r="A36" s="11" t="inlineStr">
        <is>
          <t>THE TRIAL BALANCE — paste it here</t>
        </is>
      </c>
    </row>
    <row r="37" ht="28" customHeight="1">
      <c r="B37" s="15" t="inlineStr">
        <is>
          <t>Sign convention: income and equity POSITIVE as they appear on the P&amp;L; expenses POSITIVE. Page 1 subtracts. Do not enter expenses as negatives.</t>
        </is>
      </c>
    </row>
    <row r="38">
      <c r="B38" s="23" t="inlineStr">
        <is>
          <t>Account name (as in QuickBooks)</t>
        </is>
      </c>
      <c r="C38" s="23" t="inlineStr">
        <is>
          <t>Book amount</t>
        </is>
      </c>
      <c r="D38" s="23" t="inlineStr">
        <is>
          <t>Map code</t>
        </is>
      </c>
      <c r="E38" s="23" t="inlineStr">
        <is>
          <t>Note — why, if it is not obvious</t>
        </is>
      </c>
    </row>
    <row r="39">
      <c r="B39" s="16" t="n"/>
      <c r="C39" s="21" t="n"/>
      <c r="D39" s="16" t="n"/>
      <c r="E39" s="16" t="n"/>
    </row>
    <row r="40">
      <c r="B40" s="16" t="n"/>
      <c r="C40" s="21" t="n"/>
      <c r="D40" s="16" t="n"/>
      <c r="E40" s="16" t="n"/>
    </row>
    <row r="41">
      <c r="B41" s="16" t="n"/>
      <c r="C41" s="21" t="n"/>
      <c r="D41" s="16" t="n"/>
      <c r="E41" s="16" t="n"/>
    </row>
    <row r="42">
      <c r="B42" s="16" t="n"/>
      <c r="C42" s="21" t="n"/>
      <c r="D42" s="16" t="n"/>
      <c r="E42" s="16" t="n"/>
    </row>
    <row r="43">
      <c r="B43" s="16" t="n"/>
      <c r="C43" s="21" t="n"/>
      <c r="D43" s="16" t="n"/>
      <c r="E43" s="16" t="n"/>
    </row>
    <row r="44">
      <c r="B44" s="16" t="n"/>
      <c r="C44" s="21" t="n"/>
      <c r="D44" s="16" t="n"/>
      <c r="E44" s="16" t="n"/>
    </row>
    <row r="45">
      <c r="B45" s="16" t="n"/>
      <c r="C45" s="21" t="n"/>
      <c r="D45" s="16" t="n"/>
      <c r="E45" s="16" t="n"/>
    </row>
    <row r="46">
      <c r="B46" s="16" t="n"/>
      <c r="C46" s="21" t="n"/>
      <c r="D46" s="16" t="n"/>
      <c r="E46" s="16" t="n"/>
    </row>
    <row r="47">
      <c r="B47" s="16" t="n"/>
      <c r="C47" s="21" t="n"/>
      <c r="D47" s="16" t="n"/>
      <c r="E47" s="16" t="n"/>
    </row>
    <row r="48">
      <c r="B48" s="16" t="n"/>
      <c r="C48" s="21" t="n"/>
      <c r="D48" s="16" t="n"/>
      <c r="E48" s="16" t="n"/>
    </row>
    <row r="49">
      <c r="B49" s="16" t="n"/>
      <c r="C49" s="21" t="n"/>
      <c r="D49" s="16" t="n"/>
      <c r="E49" s="16" t="n"/>
    </row>
    <row r="50">
      <c r="B50" s="16" t="n"/>
      <c r="C50" s="21" t="n"/>
      <c r="D50" s="16" t="n"/>
      <c r="E50" s="16" t="n"/>
    </row>
    <row r="51">
      <c r="B51" s="16" t="n"/>
      <c r="C51" s="21" t="n"/>
      <c r="D51" s="16" t="n"/>
      <c r="E51" s="16" t="n"/>
    </row>
    <row r="52">
      <c r="B52" s="16" t="n"/>
      <c r="C52" s="21" t="n"/>
      <c r="D52" s="16" t="n"/>
      <c r="E52" s="16" t="n"/>
    </row>
    <row r="53">
      <c r="B53" s="16" t="n"/>
      <c r="C53" s="21" t="n"/>
      <c r="D53" s="16" t="n"/>
      <c r="E53" s="16" t="n"/>
    </row>
    <row r="54">
      <c r="B54" s="16" t="n"/>
      <c r="C54" s="21" t="n"/>
      <c r="D54" s="16" t="n"/>
      <c r="E54" s="16" t="n"/>
    </row>
    <row r="55">
      <c r="B55" s="16" t="n"/>
      <c r="C55" s="21" t="n"/>
      <c r="D55" s="16" t="n"/>
      <c r="E55" s="16" t="n"/>
    </row>
    <row r="56">
      <c r="B56" s="16" t="n"/>
      <c r="C56" s="21" t="n"/>
      <c r="D56" s="16" t="n"/>
      <c r="E56" s="16" t="n"/>
    </row>
    <row r="57">
      <c r="B57" s="16" t="n"/>
      <c r="C57" s="21" t="n"/>
      <c r="D57" s="16" t="n"/>
      <c r="E57" s="16" t="n"/>
    </row>
    <row r="58">
      <c r="B58" s="16" t="n"/>
      <c r="C58" s="21" t="n"/>
      <c r="D58" s="16" t="n"/>
      <c r="E58" s="16" t="n"/>
    </row>
    <row r="59">
      <c r="B59" s="16" t="n"/>
      <c r="C59" s="21" t="n"/>
      <c r="D59" s="16" t="n"/>
      <c r="E59" s="16" t="n"/>
    </row>
    <row r="60">
      <c r="B60" s="16" t="n"/>
      <c r="C60" s="21" t="n"/>
      <c r="D60" s="16" t="n"/>
      <c r="E60" s="16" t="n"/>
    </row>
    <row r="61">
      <c r="B61" s="16" t="n"/>
      <c r="C61" s="21" t="n"/>
      <c r="D61" s="16" t="n"/>
      <c r="E61" s="16" t="n"/>
    </row>
    <row r="62">
      <c r="B62" s="16" t="n"/>
      <c r="C62" s="21" t="n"/>
      <c r="D62" s="16" t="n"/>
      <c r="E62" s="16" t="n"/>
    </row>
    <row r="63">
      <c r="B63" s="16" t="n"/>
      <c r="C63" s="21" t="n"/>
      <c r="D63" s="16" t="n"/>
      <c r="E63" s="16" t="n"/>
    </row>
    <row r="64">
      <c r="B64" s="16" t="n"/>
      <c r="C64" s="21" t="n"/>
      <c r="D64" s="16" t="n"/>
      <c r="E64" s="16" t="n"/>
    </row>
    <row r="65">
      <c r="B65" s="16" t="n"/>
      <c r="C65" s="21" t="n"/>
      <c r="D65" s="16" t="n"/>
      <c r="E65" s="16" t="n"/>
    </row>
    <row r="66">
      <c r="B66" s="16" t="n"/>
      <c r="C66" s="21" t="n"/>
      <c r="D66" s="16" t="n"/>
      <c r="E66" s="16" t="n"/>
    </row>
    <row r="67">
      <c r="B67" s="16" t="n"/>
      <c r="C67" s="21" t="n"/>
      <c r="D67" s="16" t="n"/>
      <c r="E67" s="16" t="n"/>
    </row>
    <row r="68">
      <c r="B68" s="16" t="n"/>
      <c r="C68" s="21" t="n"/>
      <c r="D68" s="16" t="n"/>
      <c r="E68" s="16" t="n"/>
    </row>
    <row r="69">
      <c r="B69" s="16" t="n"/>
      <c r="C69" s="21" t="n"/>
      <c r="D69" s="16" t="n"/>
      <c r="E69" s="16" t="n"/>
    </row>
    <row r="70">
      <c r="B70" s="16" t="n"/>
      <c r="C70" s="21" t="n"/>
      <c r="D70" s="16" t="n"/>
      <c r="E70" s="16" t="n"/>
    </row>
    <row r="71">
      <c r="B71" s="16" t="n"/>
      <c r="C71" s="21" t="n"/>
      <c r="D71" s="16" t="n"/>
      <c r="E71" s="16" t="n"/>
    </row>
    <row r="72">
      <c r="B72" s="16" t="n"/>
      <c r="C72" s="21" t="n"/>
      <c r="D72" s="16" t="n"/>
      <c r="E72" s="16" t="n"/>
    </row>
    <row r="73">
      <c r="B73" s="16" t="n"/>
      <c r="C73" s="21" t="n"/>
      <c r="D73" s="16" t="n"/>
      <c r="E73" s="16" t="n"/>
    </row>
    <row r="74">
      <c r="B74" s="16" t="n"/>
      <c r="C74" s="21" t="n"/>
      <c r="D74" s="16" t="n"/>
      <c r="E74" s="16" t="n"/>
    </row>
    <row r="75">
      <c r="B75" s="16" t="n"/>
      <c r="C75" s="21" t="n"/>
      <c r="D75" s="16" t="n"/>
      <c r="E75" s="16" t="n"/>
    </row>
    <row r="76">
      <c r="B76" s="16" t="n"/>
      <c r="C76" s="21" t="n"/>
      <c r="D76" s="16" t="n"/>
      <c r="E76" s="16" t="n"/>
    </row>
    <row r="77">
      <c r="B77" s="16" t="n"/>
      <c r="C77" s="21" t="n"/>
      <c r="D77" s="16" t="n"/>
      <c r="E77" s="16" t="n"/>
    </row>
    <row r="78">
      <c r="B78" s="16" t="n"/>
      <c r="C78" s="21" t="n"/>
      <c r="D78" s="16" t="n"/>
      <c r="E78" s="16" t="n"/>
    </row>
    <row r="79">
      <c r="B79" s="16" t="n"/>
      <c r="C79" s="21" t="n"/>
      <c r="D79" s="16" t="n"/>
      <c r="E79" s="16" t="n"/>
    </row>
    <row r="80">
      <c r="B80" s="16" t="n"/>
      <c r="C80" s="21" t="n"/>
      <c r="D80" s="16" t="n"/>
      <c r="E80" s="16" t="n"/>
    </row>
    <row r="81">
      <c r="B81" s="16" t="n"/>
      <c r="C81" s="21" t="n"/>
      <c r="D81" s="16" t="n"/>
      <c r="E81" s="16" t="n"/>
    </row>
    <row r="82">
      <c r="B82" s="16" t="n"/>
      <c r="C82" s="21" t="n"/>
      <c r="D82" s="16" t="n"/>
      <c r="E82" s="16" t="n"/>
    </row>
    <row r="83">
      <c r="B83" s="16" t="n"/>
      <c r="C83" s="21" t="n"/>
      <c r="D83" s="16" t="n"/>
      <c r="E83" s="16" t="n"/>
    </row>
    <row r="84">
      <c r="B84" s="16" t="n"/>
      <c r="C84" s="21" t="n"/>
      <c r="D84" s="16" t="n"/>
      <c r="E84" s="16" t="n"/>
    </row>
    <row r="85">
      <c r="B85" s="16" t="n"/>
      <c r="C85" s="21" t="n"/>
      <c r="D85" s="16" t="n"/>
      <c r="E85" s="16" t="n"/>
    </row>
    <row r="86">
      <c r="B86" s="16" t="n"/>
      <c r="C86" s="21" t="n"/>
      <c r="D86" s="16" t="n"/>
      <c r="E86" s="16" t="n"/>
    </row>
    <row r="87">
      <c r="B87" s="16" t="n"/>
      <c r="C87" s="21" t="n"/>
      <c r="D87" s="16" t="n"/>
      <c r="E87" s="16" t="n"/>
    </row>
    <row r="88">
      <c r="B88" s="16" t="n"/>
      <c r="C88" s="21" t="n"/>
      <c r="D88" s="16" t="n"/>
      <c r="E88" s="16" t="n"/>
    </row>
    <row r="89">
      <c r="B89" s="16" t="n"/>
      <c r="C89" s="21" t="n"/>
      <c r="D89" s="16" t="n"/>
      <c r="E89" s="16" t="n"/>
    </row>
    <row r="90">
      <c r="B90" s="16" t="n"/>
      <c r="C90" s="21" t="n"/>
      <c r="D90" s="16" t="n"/>
      <c r="E90" s="16" t="n"/>
    </row>
    <row r="91">
      <c r="B91" s="16" t="n"/>
      <c r="C91" s="21" t="n"/>
      <c r="D91" s="16" t="n"/>
      <c r="E91" s="16" t="n"/>
    </row>
    <row r="92">
      <c r="B92" s="16" t="n"/>
      <c r="C92" s="21" t="n"/>
      <c r="D92" s="16" t="n"/>
      <c r="E92" s="16" t="n"/>
    </row>
    <row r="93">
      <c r="B93" s="16" t="n"/>
      <c r="C93" s="21" t="n"/>
      <c r="D93" s="16" t="n"/>
      <c r="E93" s="16" t="n"/>
    </row>
    <row r="94">
      <c r="B94" s="16" t="n"/>
      <c r="C94" s="21" t="n"/>
      <c r="D94" s="16" t="n"/>
      <c r="E94" s="16" t="n"/>
    </row>
    <row r="95">
      <c r="B95" s="16" t="n"/>
      <c r="C95" s="21" t="n"/>
      <c r="D95" s="16" t="n"/>
      <c r="E95" s="16" t="n"/>
    </row>
    <row r="96">
      <c r="B96" s="16" t="n"/>
      <c r="C96" s="21" t="n"/>
      <c r="D96" s="16" t="n"/>
      <c r="E96" s="16" t="n"/>
    </row>
    <row r="97">
      <c r="B97" s="16" t="n"/>
      <c r="C97" s="21" t="n"/>
      <c r="D97" s="16" t="n"/>
      <c r="E97" s="16" t="n"/>
    </row>
    <row r="98">
      <c r="B98" s="16" t="n"/>
      <c r="C98" s="21" t="n"/>
      <c r="D98" s="16" t="n"/>
      <c r="E98" s="16" t="n"/>
    </row>
    <row r="99">
      <c r="B99" s="16" t="n"/>
      <c r="C99" s="21" t="n"/>
      <c r="D99" s="16" t="n"/>
      <c r="E99" s="16" t="n"/>
    </row>
    <row r="100">
      <c r="B100" s="16" t="n"/>
      <c r="C100" s="21" t="n"/>
      <c r="D100" s="16" t="n"/>
      <c r="E100" s="16" t="n"/>
    </row>
    <row r="101">
      <c r="B101" s="16" t="n"/>
      <c r="C101" s="21" t="n"/>
      <c r="D101" s="16" t="n"/>
      <c r="E101" s="16" t="n"/>
    </row>
    <row r="102">
      <c r="B102" s="16" t="n"/>
      <c r="C102" s="21" t="n"/>
      <c r="D102" s="16" t="n"/>
      <c r="E102" s="16" t="n"/>
    </row>
    <row r="103">
      <c r="B103" s="16" t="n"/>
      <c r="C103" s="21" t="n"/>
      <c r="D103" s="16" t="n"/>
      <c r="E103" s="16" t="n"/>
    </row>
    <row r="104">
      <c r="B104" s="16" t="n"/>
      <c r="C104" s="21" t="n"/>
      <c r="D104" s="16" t="n"/>
      <c r="E104" s="16" t="n"/>
    </row>
    <row r="105">
      <c r="B105" s="16" t="n"/>
      <c r="C105" s="21" t="n"/>
      <c r="D105" s="16" t="n"/>
      <c r="E105" s="16" t="n"/>
    </row>
    <row r="106">
      <c r="B106" s="16" t="n"/>
      <c r="C106" s="21" t="n"/>
      <c r="D106" s="16" t="n"/>
      <c r="E106" s="16" t="n"/>
    </row>
    <row r="107">
      <c r="B107" s="16" t="n"/>
      <c r="C107" s="21" t="n"/>
      <c r="D107" s="16" t="n"/>
      <c r="E107" s="16" t="n"/>
    </row>
    <row r="108">
      <c r="B108" s="16" t="n"/>
      <c r="C108" s="21" t="n"/>
      <c r="D108" s="16" t="n"/>
      <c r="E108" s="16" t="n"/>
    </row>
    <row r="109">
      <c r="B109" s="16" t="n"/>
      <c r="C109" s="21" t="n"/>
      <c r="D109" s="16" t="n"/>
      <c r="E109" s="16" t="n"/>
    </row>
    <row r="110">
      <c r="B110" s="16" t="n"/>
      <c r="C110" s="21" t="n"/>
      <c r="D110" s="16" t="n"/>
      <c r="E110" s="16" t="n"/>
    </row>
    <row r="111">
      <c r="B111" s="16" t="n"/>
      <c r="C111" s="21" t="n"/>
      <c r="D111" s="16" t="n"/>
      <c r="E111" s="16" t="n"/>
    </row>
    <row r="112">
      <c r="B112" s="16" t="n"/>
      <c r="C112" s="21" t="n"/>
      <c r="D112" s="16" t="n"/>
      <c r="E112" s="16" t="n"/>
    </row>
    <row r="113">
      <c r="B113" s="16" t="n"/>
      <c r="C113" s="21" t="n"/>
      <c r="D113" s="16" t="n"/>
      <c r="E113" s="16" t="n"/>
    </row>
    <row r="114">
      <c r="B114" s="16" t="n"/>
      <c r="C114" s="21" t="n"/>
      <c r="D114" s="16" t="n"/>
      <c r="E114" s="16" t="n"/>
    </row>
    <row r="115">
      <c r="B115" s="16" t="n"/>
      <c r="C115" s="21" t="n"/>
      <c r="D115" s="16" t="n"/>
      <c r="E115" s="16" t="n"/>
    </row>
    <row r="116">
      <c r="B116" s="16" t="n"/>
      <c r="C116" s="21" t="n"/>
      <c r="D116" s="16" t="n"/>
      <c r="E116" s="16" t="n"/>
    </row>
    <row r="117">
      <c r="B117" s="16" t="n"/>
      <c r="C117" s="21" t="n"/>
      <c r="D117" s="16" t="n"/>
      <c r="E117" s="16" t="n"/>
    </row>
    <row r="118">
      <c r="B118" s="16" t="n"/>
      <c r="C118" s="21" t="n"/>
      <c r="D118" s="16" t="n"/>
      <c r="E118" s="16" t="n"/>
    </row>
    <row r="119" ht="26" customHeight="1">
      <c r="B119" s="7" t="inlineStr">
        <is>
          <t>Total, all rows</t>
        </is>
      </c>
      <c r="C119" s="24">
        <f>SUM(C39:C118)</f>
        <v/>
      </c>
      <c r="E119" s="15" t="inlineStr">
        <is>
          <t>A trial balance nets to zero only if you entered it as one. This total is a typing check, not a balance check.</t>
        </is>
      </c>
    </row>
    <row r="120">
      <c r="B120" s="7" t="inlineStr">
        <is>
          <t>Rows with an amount but NO map code</t>
        </is>
      </c>
      <c r="C120" s="25">
        <f>SUMPRODUCT((C39:C118&lt;&gt;"")*(D39:D118=""))</f>
        <v/>
      </c>
      <c r="E120" s="14" t="inlineStr">
        <is>
          <t>Must be zero. An unmapped amount is simply missing from the return.</t>
        </is>
      </c>
    </row>
  </sheetData>
  <mergeCells count="35">
    <mergeCell ref="C16:E16"/>
    <mergeCell ref="C31:E31"/>
    <mergeCell ref="B37:E37"/>
    <mergeCell ref="C22:E22"/>
    <mergeCell ref="C9:E9"/>
    <mergeCell ref="A1:E1"/>
    <mergeCell ref="A36:E36"/>
    <mergeCell ref="C21:E21"/>
    <mergeCell ref="C12:E12"/>
    <mergeCell ref="C11:E11"/>
    <mergeCell ref="C27:E27"/>
    <mergeCell ref="C23:E23"/>
    <mergeCell ref="C8:E8"/>
    <mergeCell ref="C17:E17"/>
    <mergeCell ref="C7:E7"/>
    <mergeCell ref="C32:E32"/>
    <mergeCell ref="C28:E28"/>
    <mergeCell ref="C13:E13"/>
    <mergeCell ref="A2:E2"/>
    <mergeCell ref="C19:E19"/>
    <mergeCell ref="C18:E18"/>
    <mergeCell ref="C30:E30"/>
    <mergeCell ref="C34:E34"/>
    <mergeCell ref="C15:E15"/>
    <mergeCell ref="C6:E6"/>
    <mergeCell ref="C24:E24"/>
    <mergeCell ref="C33:E33"/>
    <mergeCell ref="A4:E4"/>
    <mergeCell ref="C14:E14"/>
    <mergeCell ref="C5:E5"/>
    <mergeCell ref="C26:E26"/>
    <mergeCell ref="C29:E29"/>
    <mergeCell ref="C20:E20"/>
    <mergeCell ref="C25:E25"/>
    <mergeCell ref="C10:E10"/>
  </mergeCells>
  <dataValidations count="1">
    <dataValidation sqref="D39:D118" showDropDown="0" showInputMessage="0" showErrorMessage="0" allowBlank="1" errorTitle="Unknown map code" error="Use a code from the list above." type="list">
      <formula1>='1-TrialBalance'!$B$6:$B$34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7" customWidth="1" min="2" max="2"/>
    <col width="50" customWidth="1" min="3" max="3"/>
    <col width="20" customWidth="1" min="4" max="4"/>
    <col width="13" customWidth="1" min="5" max="5"/>
    <col width="54" customWidth="1" min="6" max="6"/>
  </cols>
  <sheetData>
    <row r="1" ht="30" customHeight="1">
      <c r="A1" s="1" t="inlineStr">
        <is>
          <t>2 · Form 1120, page 1</t>
        </is>
      </c>
    </row>
    <row r="2" ht="16" customHeight="1">
      <c r="A2" s="2" t="inlineStr">
        <is>
          <t>Income, deductions, and the tax.  Line numbers last verified against the 2024 forms · 2026-09-09. Re-verify on irs.gov before entering anything.</t>
        </is>
      </c>
    </row>
    <row r="4" ht="19" customHeight="1">
      <c r="A4" s="11" t="inlineStr">
        <is>
          <t>INCOME</t>
        </is>
      </c>
    </row>
    <row r="5">
      <c r="B5" s="23" t="inlineStr">
        <is>
          <t>Line</t>
        </is>
      </c>
      <c r="C5" s="23" t="inlineStr">
        <is>
          <t>Concept</t>
        </is>
      </c>
      <c r="D5" s="23" t="inlineStr">
        <is>
          <t>Amount</t>
        </is>
      </c>
      <c r="E5" s="23" t="inlineStr">
        <is>
          <t>Typed?</t>
        </is>
      </c>
      <c r="F5" s="23" t="inlineStr">
        <is>
          <t>Where it comes from</t>
        </is>
      </c>
    </row>
    <row r="6">
      <c r="B6" s="26" t="inlineStr">
        <is>
          <t>1a</t>
        </is>
      </c>
      <c r="C6" s="27" t="inlineStr">
        <is>
          <t>Gross receipts or sales</t>
        </is>
      </c>
      <c r="D6" s="28">
        <f>SUMIF('1-TrialBalance'!$D$39:$D$118,"GROSS_RECEIPTS",'1-TrialBalance'!$C$39:$C$118)</f>
        <v/>
      </c>
      <c r="E6" s="29" t="inlineStr">
        <is>
          <t>computed</t>
        </is>
      </c>
      <c r="F6" s="30" t="inlineStr">
        <is>
          <t>Trial balance · GROSS_RECEIPTS</t>
        </is>
      </c>
    </row>
    <row r="7">
      <c r="B7" s="26" t="inlineStr">
        <is>
          <t>1b</t>
        </is>
      </c>
      <c r="C7" s="27" t="inlineStr">
        <is>
          <t>Returns and allowances</t>
        </is>
      </c>
      <c r="D7" s="28">
        <f>SUMIF('1-TrialBalance'!$D$39:$D$118,"RETURNS",'1-TrialBalance'!$C$39:$C$118)</f>
        <v/>
      </c>
      <c r="E7" s="29" t="inlineStr">
        <is>
          <t>computed</t>
        </is>
      </c>
      <c r="F7" s="30" t="inlineStr">
        <is>
          <t>Trial balance · RETURNS</t>
        </is>
      </c>
    </row>
    <row r="8">
      <c r="B8" s="31" t="inlineStr">
        <is>
          <t>1c</t>
        </is>
      </c>
      <c r="C8" s="32" t="inlineStr">
        <is>
          <t>Balance — subtract 1b from 1a</t>
        </is>
      </c>
      <c r="D8" s="24">
        <f>$D$6-$D$7</f>
        <v/>
      </c>
      <c r="E8" s="29" t="inlineStr">
        <is>
          <t>computed</t>
        </is>
      </c>
      <c r="F8" s="30" t="inlineStr"/>
    </row>
    <row r="9">
      <c r="B9" s="26" t="inlineStr">
        <is>
          <t>2</t>
        </is>
      </c>
      <c r="C9" s="27" t="inlineStr">
        <is>
          <t>Cost of goods sold  (attach Form 1125-A)</t>
        </is>
      </c>
      <c r="D9" s="28">
        <f>SUMIF('1-TrialBalance'!$D$39:$D$118,"COGS",'1-TrialBalance'!$C$39:$C$118)</f>
        <v/>
      </c>
      <c r="E9" s="29" t="inlineStr">
        <is>
          <t>computed</t>
        </is>
      </c>
      <c r="F9" s="30" t="inlineStr">
        <is>
          <t>Trial balance · COGS</t>
        </is>
      </c>
    </row>
    <row r="10">
      <c r="B10" s="31" t="inlineStr">
        <is>
          <t>3</t>
        </is>
      </c>
      <c r="C10" s="32" t="inlineStr">
        <is>
          <t>Gross profit</t>
        </is>
      </c>
      <c r="D10" s="24">
        <f>$D$8-$D$9</f>
        <v/>
      </c>
      <c r="E10" s="29" t="inlineStr">
        <is>
          <t>computed</t>
        </is>
      </c>
      <c r="F10" s="30" t="inlineStr"/>
    </row>
    <row r="11">
      <c r="B11" s="26" t="inlineStr">
        <is>
          <t>4</t>
        </is>
      </c>
      <c r="C11" s="27" t="inlineStr">
        <is>
          <t>Dividends and inclusions  (Schedule C line 23)</t>
        </is>
      </c>
      <c r="D11" s="19">
        <f>'3-SchC'!$D$42</f>
        <v/>
      </c>
      <c r="E11" s="29" t="inlineStr">
        <is>
          <t>computed</t>
        </is>
      </c>
      <c r="F11" s="30" t="inlineStr">
        <is>
          <t>Tab 3 · Schedule C</t>
        </is>
      </c>
    </row>
    <row r="12">
      <c r="B12" s="26" t="inlineStr">
        <is>
          <t>5</t>
        </is>
      </c>
      <c r="C12" s="27" t="inlineStr">
        <is>
          <t>Interest</t>
        </is>
      </c>
      <c r="D12" s="28">
        <f>SUMIF('1-TrialBalance'!$D$39:$D$118,"INTEREST",'1-TrialBalance'!$C$39:$C$118)</f>
        <v/>
      </c>
      <c r="E12" s="29" t="inlineStr">
        <is>
          <t>computed</t>
        </is>
      </c>
      <c r="F12" s="30" t="inlineStr">
        <is>
          <t>Trial balance · INTEREST.  A bond or money-market FUND pays dividends, not interest — no 1099-INT is normal</t>
        </is>
      </c>
    </row>
    <row r="13">
      <c r="B13" s="26" t="inlineStr">
        <is>
          <t>6</t>
        </is>
      </c>
      <c r="C13" s="27" t="inlineStr">
        <is>
          <t>Gross rents</t>
        </is>
      </c>
      <c r="D13" s="28">
        <f>SUMIF('1-TrialBalance'!$D$39:$D$118,"GROSS_RENTS",'1-TrialBalance'!$C$39:$C$118)</f>
        <v/>
      </c>
      <c r="E13" s="29" t="inlineStr">
        <is>
          <t>computed</t>
        </is>
      </c>
      <c r="F13" s="30" t="inlineStr">
        <is>
          <t>Trial balance · GROSS_RENTS</t>
        </is>
      </c>
    </row>
    <row r="14">
      <c r="B14" s="26" t="inlineStr">
        <is>
          <t>7</t>
        </is>
      </c>
      <c r="C14" s="27" t="inlineStr">
        <is>
          <t>Gross royalties</t>
        </is>
      </c>
      <c r="D14" s="28">
        <f>SUMIF('1-TrialBalance'!$D$39:$D$118,"ROYALTIES",'1-TrialBalance'!$C$39:$C$118)</f>
        <v/>
      </c>
      <c r="E14" s="29" t="inlineStr">
        <is>
          <t>computed</t>
        </is>
      </c>
      <c r="F14" s="30" t="inlineStr">
        <is>
          <t>Trial balance · ROYALTIES</t>
        </is>
      </c>
    </row>
    <row r="15">
      <c r="B15" s="26" t="inlineStr">
        <is>
          <t>8</t>
        </is>
      </c>
      <c r="C15" s="27" t="inlineStr">
        <is>
          <t>Capital gain net income  (attach Schedule D)</t>
        </is>
      </c>
      <c r="D15" s="19">
        <f>'4-SchD'!$G$37</f>
        <v/>
      </c>
      <c r="E15" s="29" t="inlineStr">
        <is>
          <t>computed</t>
        </is>
      </c>
      <c r="F15" s="30" t="inlineStr">
        <is>
          <t>Tab 4 · Schedule D Part III.  A NET LOSS enters here as ZERO</t>
        </is>
      </c>
    </row>
    <row r="16">
      <c r="B16" s="26" t="inlineStr">
        <is>
          <t>9</t>
        </is>
      </c>
      <c r="C16" s="27" t="inlineStr">
        <is>
          <t>Net gain or (loss) from Form 4797</t>
        </is>
      </c>
      <c r="D16" s="28">
        <f>SUMIF('1-TrialBalance'!$D$39:$D$118,"F4797",'1-TrialBalance'!$C$39:$C$118)</f>
        <v/>
      </c>
      <c r="E16" s="29" t="inlineStr">
        <is>
          <t>computed</t>
        </is>
      </c>
      <c r="F16" s="30" t="inlineStr">
        <is>
          <t>Trial balance · F4797</t>
        </is>
      </c>
    </row>
    <row r="17">
      <c r="B17" s="26" t="inlineStr">
        <is>
          <t>10</t>
        </is>
      </c>
      <c r="C17" s="27" t="inlineStr">
        <is>
          <t>Other income  (attach statement)</t>
        </is>
      </c>
      <c r="D17" s="28">
        <f>SUMIF('1-TrialBalance'!$D$39:$D$118,"OTHER_INC",'1-TrialBalance'!$C$39:$C$118)</f>
        <v/>
      </c>
      <c r="E17" s="29" t="inlineStr">
        <is>
          <t>computed</t>
        </is>
      </c>
      <c r="F17" s="30" t="inlineStr">
        <is>
          <t>Trial balance · OTHER_INC — and the statement has to be drafted</t>
        </is>
      </c>
    </row>
    <row r="18">
      <c r="B18" s="31" t="inlineStr">
        <is>
          <t>11</t>
        </is>
      </c>
      <c r="C18" s="32" t="inlineStr">
        <is>
          <t>TOTAL INCOME</t>
        </is>
      </c>
      <c r="D18" s="24">
        <f>$D$10+SUM($D$11:$D$17)</f>
        <v/>
      </c>
      <c r="E18" s="29" t="inlineStr">
        <is>
          <t>computed</t>
        </is>
      </c>
      <c r="F18" s="30" t="inlineStr"/>
    </row>
    <row r="20" ht="19" customHeight="1">
      <c r="A20" s="11" t="inlineStr">
        <is>
          <t>DEDUCTIONS</t>
        </is>
      </c>
    </row>
    <row r="21">
      <c r="B21" s="26" t="inlineStr">
        <is>
          <t>12</t>
        </is>
      </c>
      <c r="C21" s="27" t="inlineStr">
        <is>
          <t>Compensation of officers  (attach Form 1125-E)</t>
        </is>
      </c>
      <c r="D21" s="28">
        <f>SUMIF('1-TrialBalance'!$D$39:$D$118,"OFFICER_COMP",'1-TrialBalance'!$C$39:$C$118)</f>
        <v/>
      </c>
      <c r="E21" s="29" t="inlineStr">
        <is>
          <t>computed</t>
        </is>
      </c>
      <c r="F21" s="30" t="inlineStr">
        <is>
          <t>Trial balance · OFFICER_COMP</t>
        </is>
      </c>
    </row>
    <row r="22">
      <c r="B22" s="26" t="inlineStr">
        <is>
          <t>13</t>
        </is>
      </c>
      <c r="C22" s="27" t="inlineStr">
        <is>
          <t>Salaries and wages  (less employment credits)</t>
        </is>
      </c>
      <c r="D22" s="28">
        <f>SUMIF('1-TrialBalance'!$D$39:$D$118,"SALARIES",'1-TrialBalance'!$C$39:$C$118)</f>
        <v/>
      </c>
      <c r="E22" s="29" t="inlineStr">
        <is>
          <t>computed</t>
        </is>
      </c>
      <c r="F22" s="30" t="inlineStr">
        <is>
          <t>Trial balance · SALARIES</t>
        </is>
      </c>
    </row>
    <row r="23">
      <c r="B23" s="26" t="inlineStr">
        <is>
          <t>14</t>
        </is>
      </c>
      <c r="C23" s="27" t="inlineStr">
        <is>
          <t>Repairs and maintenance</t>
        </is>
      </c>
      <c r="D23" s="28">
        <f>SUMIF('1-TrialBalance'!$D$39:$D$118,"REPAIRS",'1-TrialBalance'!$C$39:$C$118)</f>
        <v/>
      </c>
      <c r="E23" s="29" t="inlineStr">
        <is>
          <t>computed</t>
        </is>
      </c>
      <c r="F23" s="30" t="inlineStr">
        <is>
          <t>Trial balance · REPAIRS</t>
        </is>
      </c>
    </row>
    <row r="24">
      <c r="B24" s="26" t="inlineStr">
        <is>
          <t>15</t>
        </is>
      </c>
      <c r="C24" s="27" t="inlineStr">
        <is>
          <t>Bad debts</t>
        </is>
      </c>
      <c r="D24" s="28">
        <f>SUMIF('1-TrialBalance'!$D$39:$D$118,"BADDEBT",'1-TrialBalance'!$C$39:$C$118)</f>
        <v/>
      </c>
      <c r="E24" s="29" t="inlineStr">
        <is>
          <t>computed</t>
        </is>
      </c>
      <c r="F24" s="30" t="inlineStr">
        <is>
          <t>Trial balance · BADDEBT</t>
        </is>
      </c>
    </row>
    <row r="25">
      <c r="B25" s="26" t="inlineStr">
        <is>
          <t>16</t>
        </is>
      </c>
      <c r="C25" s="27" t="inlineStr">
        <is>
          <t>Rents</t>
        </is>
      </c>
      <c r="D25" s="28">
        <f>SUMIF('1-TrialBalance'!$D$39:$D$118,"RENTS",'1-TrialBalance'!$C$39:$C$118)</f>
        <v/>
      </c>
      <c r="E25" s="29" t="inlineStr">
        <is>
          <t>computed</t>
        </is>
      </c>
      <c r="F25" s="30" t="inlineStr">
        <is>
          <t>Trial balance · RENTS</t>
        </is>
      </c>
    </row>
    <row r="26">
      <c r="B26" s="26" t="inlineStr">
        <is>
          <t>17</t>
        </is>
      </c>
      <c r="C26" s="27" t="inlineStr">
        <is>
          <t>Taxes and licenses</t>
        </is>
      </c>
      <c r="D26" s="28">
        <f>SUMIF('1-TrialBalance'!$D$39:$D$118,"TAXES_LIC",'1-TrialBalance'!$C$39:$C$118)</f>
        <v/>
      </c>
      <c r="E26" s="29" t="inlineStr">
        <is>
          <t>computed</t>
        </is>
      </c>
      <c r="F26" s="30" t="inlineStr">
        <is>
          <t>Trial balance · TAXES_LIC.  ⚠ FEDERAL income tax is NOT deductible — map it FED_TAX</t>
        </is>
      </c>
    </row>
    <row r="27">
      <c r="B27" s="26" t="inlineStr">
        <is>
          <t>18</t>
        </is>
      </c>
      <c r="C27" s="27" t="inlineStr">
        <is>
          <t>Interest</t>
        </is>
      </c>
      <c r="D27" s="28">
        <f>SUMIF('1-TrialBalance'!$D$39:$D$118,"INT_EXP",'1-TrialBalance'!$C$39:$C$118)</f>
        <v/>
      </c>
      <c r="E27" s="29" t="inlineStr">
        <is>
          <t>computed</t>
        </is>
      </c>
      <c r="F27" s="30" t="inlineStr">
        <is>
          <t>Trial balance · INT_EXP</t>
        </is>
      </c>
    </row>
    <row r="28">
      <c r="B28" s="26" t="inlineStr">
        <is>
          <t>19</t>
        </is>
      </c>
      <c r="C28" s="27" t="inlineStr">
        <is>
          <t>Charitable contributions</t>
        </is>
      </c>
      <c r="D28" s="28">
        <f>$D$55</f>
        <v/>
      </c>
      <c r="E28" s="29" t="inlineStr">
        <is>
          <t>computed</t>
        </is>
      </c>
      <c r="F28" s="30" t="inlineStr">
        <is>
          <t>LIMITED to 10% — see the limit block at the foot of this tab. The excess carries forward 5 years and the return records it nowhere</t>
        </is>
      </c>
    </row>
    <row r="29">
      <c r="B29" s="26" t="inlineStr">
        <is>
          <t>20</t>
        </is>
      </c>
      <c r="C29" s="27" t="inlineStr">
        <is>
          <t>Depreciation from Form 4562</t>
        </is>
      </c>
      <c r="D29" s="28">
        <f>SUMIF('1-TrialBalance'!$D$39:$D$118,"DEPREC",'1-TrialBalance'!$C$39:$C$118)</f>
        <v/>
      </c>
      <c r="E29" s="29" t="inlineStr">
        <is>
          <t>computed</t>
        </is>
      </c>
      <c r="F29" s="30" t="inlineStr">
        <is>
          <t>Trial balance · DEPREC</t>
        </is>
      </c>
    </row>
    <row r="30">
      <c r="B30" s="26" t="inlineStr">
        <is>
          <t>21</t>
        </is>
      </c>
      <c r="C30" s="27" t="inlineStr">
        <is>
          <t>Depletion</t>
        </is>
      </c>
      <c r="D30" s="28">
        <f>SUMIF('1-TrialBalance'!$D$39:$D$118,"DEPLETION",'1-TrialBalance'!$C$39:$C$118)</f>
        <v/>
      </c>
      <c r="E30" s="29" t="inlineStr">
        <is>
          <t>computed</t>
        </is>
      </c>
      <c r="F30" s="30" t="inlineStr">
        <is>
          <t>Trial balance · DEPLETION</t>
        </is>
      </c>
    </row>
    <row r="31">
      <c r="B31" s="26" t="inlineStr">
        <is>
          <t>22</t>
        </is>
      </c>
      <c r="C31" s="27" t="inlineStr">
        <is>
          <t>Advertising</t>
        </is>
      </c>
      <c r="D31" s="28">
        <f>SUMIF('1-TrialBalance'!$D$39:$D$118,"ADVERTISING",'1-TrialBalance'!$C$39:$C$118)</f>
        <v/>
      </c>
      <c r="E31" s="29" t="inlineStr">
        <is>
          <t>computed</t>
        </is>
      </c>
      <c r="F31" s="30" t="inlineStr">
        <is>
          <t>Trial balance · ADVERTISING</t>
        </is>
      </c>
    </row>
    <row r="32">
      <c r="B32" s="26" t="inlineStr">
        <is>
          <t>23</t>
        </is>
      </c>
      <c r="C32" s="27" t="inlineStr">
        <is>
          <t>Pension, profit-sharing, etc., plans</t>
        </is>
      </c>
      <c r="D32" s="28">
        <f>SUMIF('1-TrialBalance'!$D$39:$D$118,"PENSION",'1-TrialBalance'!$C$39:$C$118)</f>
        <v/>
      </c>
      <c r="E32" s="29" t="inlineStr">
        <is>
          <t>computed</t>
        </is>
      </c>
      <c r="F32" s="30" t="inlineStr">
        <is>
          <t>Trial balance · PENSION</t>
        </is>
      </c>
    </row>
    <row r="33">
      <c r="B33" s="26" t="inlineStr">
        <is>
          <t>24</t>
        </is>
      </c>
      <c r="C33" s="27" t="inlineStr">
        <is>
          <t>Employee benefit programs</t>
        </is>
      </c>
      <c r="D33" s="28">
        <f>SUMIF('1-TrialBalance'!$D$39:$D$118,"BENEFITS",'1-TrialBalance'!$C$39:$C$118)</f>
        <v/>
      </c>
      <c r="E33" s="29" t="inlineStr">
        <is>
          <t>computed</t>
        </is>
      </c>
      <c r="F33" s="30" t="inlineStr">
        <is>
          <t>Trial balance · BENEFITS</t>
        </is>
      </c>
    </row>
    <row r="34">
      <c r="B34" s="26" t="inlineStr">
        <is>
          <t>25</t>
        </is>
      </c>
      <c r="C34" s="27" t="inlineStr">
        <is>
          <t>Energy efficient commercial buildings deduction</t>
        </is>
      </c>
      <c r="D34" s="21" t="n"/>
      <c r="E34" s="33" t="inlineStr">
        <is>
          <t>TYPED</t>
        </is>
      </c>
      <c r="F34" s="30" t="inlineStr">
        <is>
          <t>Form 7205, if any</t>
        </is>
      </c>
    </row>
    <row r="35">
      <c r="B35" s="26" t="inlineStr">
        <is>
          <t>26</t>
        </is>
      </c>
      <c r="C35" s="27" t="inlineStr">
        <is>
          <t>Other deductions  (attach statement)</t>
        </is>
      </c>
      <c r="D35" s="28">
        <f>SUMIF('1-TrialBalance'!$D$39:$D$118,"OTHER_DED",'1-TrialBalance'!$C$39:$C$118)</f>
        <v/>
      </c>
      <c r="E35" s="29" t="inlineStr">
        <is>
          <t>computed</t>
        </is>
      </c>
      <c r="F35" s="30" t="inlineStr">
        <is>
          <t>Trial balance · OTHER_DED.  Investment management fees belong here — deductible for a CORPORATION (§162); the §67(g) bar is an individual rule</t>
        </is>
      </c>
    </row>
    <row r="36">
      <c r="B36" s="31" t="inlineStr">
        <is>
          <t>27</t>
        </is>
      </c>
      <c r="C36" s="32" t="inlineStr">
        <is>
          <t>TOTAL DEDUCTIONS</t>
        </is>
      </c>
      <c r="D36" s="24">
        <f>SUM($D$21:$D$35)</f>
        <v/>
      </c>
      <c r="E36" s="29" t="inlineStr">
        <is>
          <t>computed</t>
        </is>
      </c>
      <c r="F36" s="30" t="inlineStr"/>
    </row>
    <row r="38">
      <c r="B38" s="31" t="inlineStr">
        <is>
          <t>28</t>
        </is>
      </c>
      <c r="C38" s="32" t="inlineStr">
        <is>
          <t>Taxable income before NOL and special deductions</t>
        </is>
      </c>
      <c r="D38" s="24">
        <f>$D$18-$D$36</f>
        <v/>
      </c>
      <c r="E38" s="29" t="inlineStr">
        <is>
          <t>computed</t>
        </is>
      </c>
      <c r="F38" s="30" t="inlineStr"/>
    </row>
    <row r="39">
      <c r="B39" s="26" t="inlineStr">
        <is>
          <t>29a</t>
        </is>
      </c>
      <c r="C39" s="27" t="inlineStr">
        <is>
          <t>Net operating loss deduction</t>
        </is>
      </c>
      <c r="D39" s="21" t="n"/>
      <c r="E39" s="33" t="inlineStr">
        <is>
          <t>TYPED</t>
        </is>
      </c>
      <c r="F39" s="30" t="inlineStr">
        <is>
          <t>From tab 0 · NOL carryforward, limited to 80% of line 28 for post-2017 losses — check before entering</t>
        </is>
      </c>
    </row>
    <row r="40">
      <c r="B40" s="26" t="inlineStr">
        <is>
          <t>29b</t>
        </is>
      </c>
      <c r="C40" s="27" t="inlineStr">
        <is>
          <t>Special deductions  (Schedule C line 24)</t>
        </is>
      </c>
      <c r="D40" s="19">
        <f>'3-SchC'!$F$43</f>
        <v/>
      </c>
      <c r="E40" s="29" t="inlineStr">
        <is>
          <t>computed</t>
        </is>
      </c>
      <c r="F40" s="30" t="inlineStr">
        <is>
          <t>Tab 3 · the dividends-received deduction</t>
        </is>
      </c>
    </row>
    <row r="41">
      <c r="B41" s="31" t="inlineStr">
        <is>
          <t>29c</t>
        </is>
      </c>
      <c r="C41" s="32" t="inlineStr">
        <is>
          <t>Add lines 29a and 29b</t>
        </is>
      </c>
      <c r="D41" s="24">
        <f>$D$39+$D$40</f>
        <v/>
      </c>
      <c r="E41" s="29" t="inlineStr">
        <is>
          <t>computed</t>
        </is>
      </c>
      <c r="F41" s="30" t="inlineStr"/>
    </row>
    <row r="42">
      <c r="B42" s="31" t="inlineStr">
        <is>
          <t>30</t>
        </is>
      </c>
      <c r="C42" s="32" t="inlineStr">
        <is>
          <t>TAXABLE INCOME</t>
        </is>
      </c>
      <c r="D42" s="24">
        <f>$D$38-$D$41</f>
        <v/>
      </c>
      <c r="E42" s="29" t="inlineStr">
        <is>
          <t>computed</t>
        </is>
      </c>
      <c r="F42" s="30" t="inlineStr"/>
    </row>
    <row r="44" ht="19" customHeight="1">
      <c r="A44" s="11" t="inlineStr">
        <is>
          <t>TAX AND PAYMENTS</t>
        </is>
      </c>
    </row>
    <row r="45">
      <c r="B45" s="31" t="inlineStr">
        <is>
          <t>31</t>
        </is>
      </c>
      <c r="C45" s="32" t="inlineStr">
        <is>
          <t>Total tax  (Schedule J line 12)</t>
        </is>
      </c>
      <c r="D45" s="34">
        <f>'6-SchJ'!$D$20</f>
        <v/>
      </c>
      <c r="E45" s="29" t="inlineStr">
        <is>
          <t>computed</t>
        </is>
      </c>
      <c r="F45" s="30" t="inlineStr">
        <is>
          <t>Tab 6</t>
        </is>
      </c>
    </row>
    <row r="46">
      <c r="B46" s="26" t="inlineStr">
        <is>
          <t>33</t>
        </is>
      </c>
      <c r="C46" s="27" t="inlineStr">
        <is>
          <t>Total payments and credits  (Schedule J line 23)</t>
        </is>
      </c>
      <c r="D46" s="19">
        <f>'6-SchJ'!$D$27</f>
        <v/>
      </c>
      <c r="E46" s="29" t="inlineStr">
        <is>
          <t>computed</t>
        </is>
      </c>
      <c r="F46" s="30" t="inlineStr">
        <is>
          <t>Tab 6</t>
        </is>
      </c>
    </row>
    <row r="47">
      <c r="B47" s="26" t="inlineStr">
        <is>
          <t>34</t>
        </is>
      </c>
      <c r="C47" s="27" t="inlineStr">
        <is>
          <t>Estimated tax penalty  (Form 2220)</t>
        </is>
      </c>
      <c r="D47" s="21" t="n"/>
      <c r="E47" s="33" t="inlineStr">
        <is>
          <t>TYPED</t>
        </is>
      </c>
      <c r="F47" s="30" t="inlineStr">
        <is>
          <t>Form 2220 if underpaid</t>
        </is>
      </c>
    </row>
    <row r="48">
      <c r="B48" s="31" t="inlineStr">
        <is>
          <t>35</t>
        </is>
      </c>
      <c r="C48" s="32" t="inlineStr">
        <is>
          <t>Amount owed</t>
        </is>
      </c>
      <c r="D48" s="24">
        <f>IF($D$46&lt;$D$45+$D$47,$D$45+$D$47-$D$46,0)</f>
        <v/>
      </c>
      <c r="E48" s="29" t="inlineStr">
        <is>
          <t>computed</t>
        </is>
      </c>
      <c r="F48" s="30" t="inlineStr"/>
    </row>
    <row r="49">
      <c r="B49" s="31" t="inlineStr">
        <is>
          <t>36</t>
        </is>
      </c>
      <c r="C49" s="32" t="inlineStr">
        <is>
          <t>Overpayment</t>
        </is>
      </c>
      <c r="D49" s="24">
        <f>IF($D$46&gt;$D$45+$D$47,$D$46-$D$45-$D$47,0)</f>
        <v/>
      </c>
      <c r="E49" s="29" t="inlineStr">
        <is>
          <t>computed</t>
        </is>
      </c>
      <c r="F49" s="30" t="inlineStr"/>
    </row>
    <row r="51" ht="19" customHeight="1">
      <c r="A51" s="12" t="inlineStr">
        <is>
          <t>THE CHARITABLE LIMIT — check it before line 19 is trusted</t>
        </is>
      </c>
    </row>
    <row r="52">
      <c r="C52" s="27" t="inlineStr">
        <is>
          <t>Contributions per the books</t>
        </is>
      </c>
      <c r="D52" s="28">
        <f>SUMIF('1-TrialBalance'!$D$39:$D$118,"CHARITY",'1-TrialBalance'!$C$39:$C$118)</f>
        <v/>
      </c>
    </row>
    <row r="53">
      <c r="C53" s="27" t="inlineStr">
        <is>
          <t>Taxable income before the contribution and before NOL / special deductions</t>
        </is>
      </c>
      <c r="D53" s="28">
        <f>$D$18-SUM($D$21:$D$27)-SUM($D$29:$D$35)</f>
        <v/>
      </c>
    </row>
    <row r="54">
      <c r="C54" s="27" t="inlineStr">
        <is>
          <t>10% limit</t>
        </is>
      </c>
      <c r="D54" s="28">
        <f>MAX(0,$D$53*0.1)</f>
        <v/>
      </c>
    </row>
    <row r="55">
      <c r="C55" s="32" t="inlineStr">
        <is>
          <t>Deductible this year  → line 19 above</t>
        </is>
      </c>
      <c r="D55" s="24">
        <f>MIN($D$52,$D$54)</f>
        <v/>
      </c>
    </row>
    <row r="56">
      <c r="C56" s="32" t="inlineStr">
        <is>
          <t>Carried forward (5 years)</t>
        </is>
      </c>
      <c r="D56" s="24">
        <f>MAX(0,$D$52-$D$54)</f>
        <v/>
      </c>
      <c r="F56" s="14" t="inlineStr">
        <is>
          <t>Carry this to tab 12. Nothing on the filed return records it.</t>
        </is>
      </c>
    </row>
  </sheetData>
  <mergeCells count="6">
    <mergeCell ref="A2:F2"/>
    <mergeCell ref="A51:F51"/>
    <mergeCell ref="A44:F44"/>
    <mergeCell ref="A1:F1"/>
    <mergeCell ref="A4:F4"/>
    <mergeCell ref="A20:F20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9" customWidth="1" min="4" max="4"/>
    <col width="9" customWidth="1" min="5" max="5"/>
    <col width="19" customWidth="1" min="6" max="6"/>
    <col width="56" customWidth="1" min="7" max="7"/>
  </cols>
  <sheetData>
    <row r="1" ht="30" customHeight="1">
      <c r="A1" s="1" t="inlineStr">
        <is>
          <t>3 · Schedule C — dividends, and the deduction most easily missed</t>
        </is>
      </c>
    </row>
    <row r="2" ht="16" customHeight="1">
      <c r="A2" s="2" t="inlineStr">
        <is>
          <t>A C-corporation deducts part of what it receives from DOMESTIC corporations. Line numbers last verified against the 2024 forms · 2026-09-09. Re-verify on irs.gov before entering anything.</t>
        </is>
      </c>
    </row>
    <row r="4" ht="19" customHeight="1">
      <c r="A4" s="11" t="inlineStr">
        <is>
          <t>BEFORE YOU FILL THE SCHEDULE — decide the deduction</t>
        </is>
      </c>
    </row>
    <row r="5" ht="42" customHeight="1">
      <c r="C5" s="14" t="inlineStr">
        <is>
          <t>Schedule C has a catch-all line 20, Other dividends. It carries NO percentage and therefore NO deduction. Sending the whole dividend total there is the silent default, and it has already happened on a real filed return. Work these four rows first.</t>
        </is>
      </c>
    </row>
    <row r="6">
      <c r="C6" s="8" t="inlineStr">
        <is>
          <t>Total ordinary dividends received  (1099-DIV box 1a, ALL accounts)</t>
        </is>
      </c>
      <c r="D6" s="21" t="n"/>
    </row>
    <row r="7">
      <c r="C7" s="8" t="inlineStr">
        <is>
          <t>Does any account hold DOMESTIC CORPORATE SHARES?  (Yes / No)</t>
        </is>
      </c>
      <c r="D7" s="16" t="n"/>
    </row>
    <row r="8">
      <c r="C8" s="8" t="inlineStr">
        <is>
          <t>Amount confirmed §243 / §854(b) ELIGIBLE by the broker or fund</t>
        </is>
      </c>
      <c r="D8" s="21" t="n"/>
    </row>
    <row r="9">
      <c r="C9" s="8" t="inlineStr">
        <is>
          <t>§246(c) holding period met on that amount?  (Yes / No / Not tested)</t>
        </is>
      </c>
      <c r="D9" s="16" t="n"/>
    </row>
    <row r="10">
      <c r="C10" s="8" t="inlineStr">
        <is>
          <t>Of the eligible amount, from payers 20%-or-more owned</t>
        </is>
      </c>
      <c r="D10" s="21" t="n"/>
    </row>
    <row r="11">
      <c r="C11" s="8" t="inlineStr">
        <is>
          <t>Who was asked, when, and what they said</t>
        </is>
      </c>
      <c r="D11" s="16" t="n"/>
      <c r="E11" s="35" t="n"/>
      <c r="F11" s="35" t="n"/>
      <c r="G11" s="36" t="n"/>
    </row>
    <row r="12">
      <c r="C12" s="7" t="inlineStr">
        <is>
          <t>→ Eligible at 50%  (less-than-20%-owned)</t>
        </is>
      </c>
      <c r="D12" s="24">
        <f>IF(OR('3-SchC'!$D$9="No",'3-SchC'!$D$9=""),0,MAX(0,N('3-SchC'!$D$8)-N('3-SchC'!$D$10)))</f>
        <v/>
      </c>
      <c r="F12" s="13" t="inlineStr">
        <is>
          <t>Zero until the holding period is answered Yes — deliberately.</t>
        </is>
      </c>
    </row>
    <row r="13">
      <c r="C13" s="7" t="inlineStr">
        <is>
          <t>→ Eligible at 65%  (20%-or-more-owned)</t>
        </is>
      </c>
      <c r="D13" s="24">
        <f>IF(OR('3-SchC'!$D$9="No",'3-SchC'!$D$9=""),0,N('3-SchC'!$D$10))</f>
        <v/>
      </c>
    </row>
    <row r="14">
      <c r="C14" s="7" t="inlineStr">
        <is>
          <t>→ Everything else — line 20, no deduction</t>
        </is>
      </c>
      <c r="D14" s="24">
        <f>N('3-SchC'!$D$6)-'3-SchC'!$D$12-'3-SchC'!$D$13</f>
        <v/>
      </c>
    </row>
    <row r="15">
      <c r="C15" s="37" t="inlineStr">
        <is>
          <t>VERDICT</t>
        </is>
      </c>
      <c r="D15" s="38">
        <f>IF(N('3-SchC'!$D$6)=0,"—",IF(AND('3-SchC'!$D$12+'3-SchC'!$D$13=0,'3-SchC'!$D$7="Yes"),"⚠ ALL on line 20 while the client HOLDS domestic shares — ask the broker before filing",IF('3-SchC'!$D$12+'3-SchC'!$D$13=0,"No DRD — reason recorded above","DRD taken — check the reason row is filled in")))</f>
        <v/>
      </c>
      <c r="E15" s="35" t="n"/>
      <c r="F15" s="35" t="n"/>
      <c r="G15" s="36" t="n"/>
    </row>
    <row r="17" ht="19" customHeight="1">
      <c r="A17" s="11" t="inlineStr">
        <is>
          <t>SCHEDULE C AS IT IS FILLED IN</t>
        </is>
      </c>
    </row>
    <row r="18">
      <c r="B18" s="23" t="inlineStr">
        <is>
          <t>Line</t>
        </is>
      </c>
      <c r="C18" s="23" t="inlineStr">
        <is>
          <t>Concept</t>
        </is>
      </c>
      <c r="D18" s="23" t="inlineStr">
        <is>
          <t>(a) Dividends</t>
        </is>
      </c>
      <c r="E18" s="23" t="inlineStr">
        <is>
          <t>(b) %</t>
        </is>
      </c>
      <c r="F18" s="23" t="inlineStr">
        <is>
          <t>(c) Special deduction</t>
        </is>
      </c>
      <c r="G18" s="23" t="inlineStr">
        <is>
          <t>Note</t>
        </is>
      </c>
    </row>
    <row r="19">
      <c r="B19" s="26" t="inlineStr">
        <is>
          <t>1</t>
        </is>
      </c>
      <c r="C19" s="27" t="inlineStr">
        <is>
          <t>Dividends from less-than-20%-owned domestic corporations</t>
        </is>
      </c>
      <c r="D19" s="28">
        <f>'3-SchC'!$D$12</f>
        <v/>
      </c>
      <c r="E19" s="39" t="n">
        <v>0.5</v>
      </c>
      <c r="F19" s="28">
        <f>ROUND(D19*E19,2)</f>
        <v/>
      </c>
      <c r="G19" s="30" t="inlineStr">
        <is>
          <t>🔴 THE DRD LINE. This is where portfolio dividends from US companies belong.</t>
        </is>
      </c>
    </row>
    <row r="20">
      <c r="B20" s="26" t="inlineStr">
        <is>
          <t>2</t>
        </is>
      </c>
      <c r="C20" s="27" t="inlineStr">
        <is>
          <t>Dividends from 20%-or-more-owned domestic corporations</t>
        </is>
      </c>
      <c r="D20" s="28">
        <f>'3-SchC'!$D$13</f>
        <v/>
      </c>
      <c r="E20" s="39" t="n">
        <v>0.65</v>
      </c>
      <c r="F20" s="28">
        <f>ROUND(D20*E20,2)</f>
        <v/>
      </c>
      <c r="G20" s="30" t="inlineStr"/>
    </row>
    <row r="21">
      <c r="B21" s="26" t="inlineStr">
        <is>
          <t>3</t>
        </is>
      </c>
      <c r="C21" s="27" t="inlineStr">
        <is>
          <t>Dividends on certain debt-financed stock</t>
        </is>
      </c>
      <c r="D21" s="21" t="n"/>
      <c r="E21" s="27" t="inlineStr"/>
      <c r="F21" s="27" t="inlineStr"/>
      <c r="G21" s="30" t="inlineStr">
        <is>
          <t>§246A — only if the shares were bought with borrowed money</t>
        </is>
      </c>
    </row>
    <row r="22">
      <c r="B22" s="26" t="inlineStr">
        <is>
          <t>4</t>
        </is>
      </c>
      <c r="C22" s="27" t="inlineStr">
        <is>
          <t>Certain preferred stock of less-than-20%-owned public utilities</t>
        </is>
      </c>
      <c r="D22" s="21" t="n"/>
      <c r="E22" s="39" t="n">
        <v>0.233</v>
      </c>
      <c r="F22" s="28">
        <f>ROUND(D22*E22,2)</f>
        <v/>
      </c>
      <c r="G22" s="30" t="inlineStr"/>
    </row>
    <row r="23">
      <c r="B23" s="26" t="inlineStr">
        <is>
          <t>5</t>
        </is>
      </c>
      <c r="C23" s="27" t="inlineStr">
        <is>
          <t>Certain preferred stock of 20%-or-more-owned public utilities</t>
        </is>
      </c>
      <c r="D23" s="21" t="n"/>
      <c r="E23" s="39" t="n">
        <v>0.267</v>
      </c>
      <c r="F23" s="28">
        <f>ROUND(D23*E23,2)</f>
        <v/>
      </c>
      <c r="G23" s="30" t="inlineStr"/>
    </row>
    <row r="24">
      <c r="B24" s="26" t="inlineStr">
        <is>
          <t>6</t>
        </is>
      </c>
      <c r="C24" s="27" t="inlineStr">
        <is>
          <t>Less-than-20%-owned FOREIGN corporations and certain FSCs</t>
        </is>
      </c>
      <c r="D24" s="21" t="n"/>
      <c r="E24" s="39" t="n">
        <v>0.5</v>
      </c>
      <c r="F24" s="28">
        <f>ROUND(D24*E24,2)</f>
        <v/>
      </c>
      <c r="G24" s="30" t="inlineStr"/>
    </row>
    <row r="25">
      <c r="B25" s="26" t="inlineStr">
        <is>
          <t>7</t>
        </is>
      </c>
      <c r="C25" s="27" t="inlineStr">
        <is>
          <t>20%-or-more-owned foreign corporations and certain FSCs</t>
        </is>
      </c>
      <c r="D25" s="21" t="n"/>
      <c r="E25" s="39" t="n">
        <v>0.65</v>
      </c>
      <c r="F25" s="28">
        <f>ROUND(D25*E25,2)</f>
        <v/>
      </c>
      <c r="G25" s="30" t="inlineStr"/>
    </row>
    <row r="26">
      <c r="B26" s="26" t="inlineStr">
        <is>
          <t>8</t>
        </is>
      </c>
      <c r="C26" s="27" t="inlineStr">
        <is>
          <t>Wholly owned foreign subsidiaries</t>
        </is>
      </c>
      <c r="D26" s="21" t="n"/>
      <c r="E26" s="39" t="n">
        <v>1</v>
      </c>
      <c r="F26" s="28">
        <f>ROUND(D26*E26,2)</f>
        <v/>
      </c>
      <c r="G26" s="30" t="inlineStr"/>
    </row>
    <row r="27">
      <c r="B27" s="31" t="inlineStr">
        <is>
          <t>9</t>
        </is>
      </c>
      <c r="C27" s="32" t="inlineStr">
        <is>
          <t>Subtotal — add lines 1 through 8</t>
        </is>
      </c>
      <c r="D27" s="24">
        <f>SUM(D19:D26)</f>
        <v/>
      </c>
      <c r="E27" s="27" t="inlineStr"/>
      <c r="F27" s="24">
        <f>SUM(F19:F26)</f>
        <v/>
      </c>
      <c r="G27" s="30" t="inlineStr">
        <is>
          <t>See the instructions for the taxable-income limitation</t>
        </is>
      </c>
    </row>
    <row r="28">
      <c r="B28" s="26" t="inlineStr">
        <is>
          <t>10</t>
        </is>
      </c>
      <c r="C28" s="27" t="inlineStr">
        <is>
          <t>Dividends from an SBIC</t>
        </is>
      </c>
      <c r="D28" s="21" t="n"/>
      <c r="E28" s="39" t="n">
        <v>1</v>
      </c>
      <c r="F28" s="28">
        <f>ROUND(D28*E28,2)</f>
        <v/>
      </c>
      <c r="G28" s="30" t="inlineStr"/>
    </row>
    <row r="29">
      <c r="B29" s="26" t="inlineStr">
        <is>
          <t>11</t>
        </is>
      </c>
      <c r="C29" s="27" t="inlineStr">
        <is>
          <t>Dividends from affiliated group members</t>
        </is>
      </c>
      <c r="D29" s="21" t="n"/>
      <c r="E29" s="39" t="n">
        <v>1</v>
      </c>
      <c r="F29" s="28">
        <f>ROUND(D29*E29,2)</f>
        <v/>
      </c>
      <c r="G29" s="30" t="inlineStr"/>
    </row>
    <row r="30">
      <c r="B30" s="26" t="inlineStr">
        <is>
          <t>12</t>
        </is>
      </c>
      <c r="C30" s="27" t="inlineStr">
        <is>
          <t>Dividends from certain FSCs</t>
        </is>
      </c>
      <c r="D30" s="21" t="n"/>
      <c r="E30" s="39" t="n">
        <v>1</v>
      </c>
      <c r="F30" s="28">
        <f>ROUND(D30*E30,2)</f>
        <v/>
      </c>
      <c r="G30" s="30" t="inlineStr"/>
    </row>
    <row r="31">
      <c r="B31" s="26" t="inlineStr">
        <is>
          <t>13</t>
        </is>
      </c>
      <c r="C31" s="27" t="inlineStr">
        <is>
          <t>Foreign-source portion from a specified 10%-owned foreign corporation</t>
        </is>
      </c>
      <c r="D31" s="21" t="n"/>
      <c r="E31" s="39" t="n">
        <v>1</v>
      </c>
      <c r="F31" s="28">
        <f>ROUND(D31*E31,2)</f>
        <v/>
      </c>
      <c r="G31" s="30" t="inlineStr">
        <is>
          <t>§245A</t>
        </is>
      </c>
    </row>
    <row r="32">
      <c r="B32" s="26" t="inlineStr">
        <is>
          <t>14</t>
        </is>
      </c>
      <c r="C32" s="27" t="inlineStr">
        <is>
          <t>Dividends from foreign corporations not on 3, 6, 7, 8, 11, 12 or 13</t>
        </is>
      </c>
      <c r="D32" s="21" t="n"/>
      <c r="E32" s="27" t="inlineStr"/>
      <c r="F32" s="27" t="inlineStr"/>
      <c r="G32" s="30" t="inlineStr"/>
    </row>
    <row r="33">
      <c r="B33" s="26" t="inlineStr">
        <is>
          <t>16a</t>
        </is>
      </c>
      <c r="C33" s="27" t="inlineStr">
        <is>
          <t>Subpart F inclusions — sale of lower-tier stock (Form 5471)</t>
        </is>
      </c>
      <c r="D33" s="21" t="n"/>
      <c r="E33" s="39" t="n">
        <v>1</v>
      </c>
      <c r="F33" s="28">
        <f>ROUND(D33*E33,2)</f>
        <v/>
      </c>
      <c r="G33" s="30" t="inlineStr"/>
    </row>
    <row r="34">
      <c r="B34" s="26" t="inlineStr">
        <is>
          <t>16b</t>
        </is>
      </c>
      <c r="C34" s="27" t="inlineStr">
        <is>
          <t>Subpart F inclusions from hybrid dividends of tiered corporations</t>
        </is>
      </c>
      <c r="D34" s="21" t="n"/>
      <c r="E34" s="27" t="inlineStr"/>
      <c r="F34" s="27" t="inlineStr"/>
      <c r="G34" s="30" t="inlineStr"/>
    </row>
    <row r="35">
      <c r="B35" s="26" t="inlineStr">
        <is>
          <t>16c</t>
        </is>
      </c>
      <c r="C35" s="27" t="inlineStr">
        <is>
          <t>Other subpart F inclusions</t>
        </is>
      </c>
      <c r="D35" s="21" t="n"/>
      <c r="E35" s="27" t="inlineStr"/>
      <c r="F35" s="27" t="inlineStr"/>
      <c r="G35" s="30" t="inlineStr"/>
    </row>
    <row r="36">
      <c r="B36" s="26" t="inlineStr">
        <is>
          <t>17</t>
        </is>
      </c>
      <c r="C36" s="27" t="inlineStr">
        <is>
          <t>GILTI  (Forms 5471 and 8992)</t>
        </is>
      </c>
      <c r="D36" s="21" t="n"/>
      <c r="E36" s="27" t="inlineStr"/>
      <c r="F36" s="27" t="inlineStr"/>
      <c r="G36" s="30" t="inlineStr"/>
    </row>
    <row r="37">
      <c r="B37" s="26" t="inlineStr">
        <is>
          <t>18</t>
        </is>
      </c>
      <c r="C37" s="27" t="inlineStr">
        <is>
          <t>Gross-up for foreign taxes deemed paid</t>
        </is>
      </c>
      <c r="D37" s="21" t="n"/>
      <c r="E37" s="27" t="inlineStr"/>
      <c r="F37" s="27" t="inlineStr"/>
      <c r="G37" s="30" t="inlineStr">
        <is>
          <t>§78</t>
        </is>
      </c>
    </row>
    <row r="38">
      <c r="B38" s="26" t="inlineStr">
        <is>
          <t>19</t>
        </is>
      </c>
      <c r="C38" s="27" t="inlineStr">
        <is>
          <t>IC-DISC and former DISC dividends</t>
        </is>
      </c>
      <c r="D38" s="21" t="n"/>
      <c r="E38" s="27" t="inlineStr"/>
      <c r="F38" s="27" t="inlineStr"/>
      <c r="G38" s="30" t="inlineStr"/>
    </row>
    <row r="39">
      <c r="B39" s="26" t="inlineStr">
        <is>
          <t>20</t>
        </is>
      </c>
      <c r="C39" s="27" t="inlineStr">
        <is>
          <t>OTHER DIVIDENDS</t>
        </is>
      </c>
      <c r="D39" s="28">
        <f>'3-SchC'!$D$14</f>
        <v/>
      </c>
      <c r="E39" s="27" t="inlineStr"/>
      <c r="F39" s="27" t="inlineStr"/>
      <c r="G39" s="30" t="inlineStr">
        <is>
          <t>⚠ No percentage column — nothing entered here earns a deduction</t>
        </is>
      </c>
    </row>
    <row r="40">
      <c r="B40" s="26" t="inlineStr">
        <is>
          <t>21</t>
        </is>
      </c>
      <c r="C40" s="27" t="inlineStr">
        <is>
          <t>Deduction for dividends paid on certain preferred stock of public utilities</t>
        </is>
      </c>
      <c r="D40" s="21" t="n"/>
      <c r="E40" s="27" t="inlineStr"/>
      <c r="F40" s="28">
        <f>0</f>
        <v/>
      </c>
      <c r="G40" s="30" t="inlineStr"/>
    </row>
    <row r="41">
      <c r="B41" s="26" t="inlineStr">
        <is>
          <t>22</t>
        </is>
      </c>
      <c r="C41" s="27" t="inlineStr">
        <is>
          <t>§250 deduction  (Form 8993)</t>
        </is>
      </c>
      <c r="D41" s="21" t="n"/>
      <c r="E41" s="27" t="inlineStr"/>
      <c r="F41" s="28">
        <f>0</f>
        <v/>
      </c>
      <c r="G41" s="30" t="inlineStr"/>
    </row>
    <row r="42">
      <c r="B42" s="31" t="inlineStr">
        <is>
          <t>23</t>
        </is>
      </c>
      <c r="C42" s="32" t="inlineStr">
        <is>
          <t>TOTAL DIVIDENDS AND INCLUSIONS  → page 1 line 4</t>
        </is>
      </c>
      <c r="D42" s="24">
        <f>SUM(D27:D39)</f>
        <v/>
      </c>
      <c r="E42" s="27" t="inlineStr"/>
      <c r="F42" s="27" t="inlineStr"/>
      <c r="G42" s="30" t="inlineStr">
        <is>
          <t>Column (a), lines 9 through 20</t>
        </is>
      </c>
    </row>
    <row r="43">
      <c r="B43" s="31" t="inlineStr">
        <is>
          <t>24</t>
        </is>
      </c>
      <c r="C43" s="32" t="inlineStr">
        <is>
          <t>TOTAL SPECIAL DEDUCTIONS  → page 1 line 29b</t>
        </is>
      </c>
      <c r="D43" s="27" t="inlineStr"/>
      <c r="E43" s="27" t="inlineStr"/>
      <c r="F43" s="24">
        <f>SUM(F27:F41)</f>
        <v/>
      </c>
      <c r="G43" s="30" t="inlineStr">
        <is>
          <t>Column (c), lines 9 through 22</t>
        </is>
      </c>
    </row>
    <row r="45" ht="30" customHeight="1">
      <c r="C45" s="27" t="inlineStr">
        <is>
          <t>Dividends per the BOOKS, for comparison</t>
        </is>
      </c>
      <c r="D45" s="19">
        <f>SUMIF('1-TrialBalance'!$D$39:$D$118,"DIVIDENDS",'1-TrialBalance'!$C$39:$C$118)</f>
        <v/>
      </c>
      <c r="G45" s="40" t="inlineStr">
        <is>
          <t>The books follow the STATEMENT; the return follows the 1099. A difference is a timing item for Schedule M-1 — do NOT adjust the books to match.</t>
        </is>
      </c>
    </row>
  </sheetData>
  <mergeCells count="8">
    <mergeCell ref="F12:G12"/>
    <mergeCell ref="A1:G1"/>
    <mergeCell ref="A17:G17"/>
    <mergeCell ref="A4:G4"/>
    <mergeCell ref="C5:G5"/>
    <mergeCell ref="A2:G2"/>
    <mergeCell ref="D15:G15"/>
    <mergeCell ref="D11:G1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7" customWidth="1" min="2" max="2"/>
    <col width="50" customWidth="1" min="3" max="3"/>
    <col width="17" customWidth="1" min="4" max="4"/>
    <col width="17" customWidth="1" min="5" max="5"/>
    <col width="17" customWidth="1" min="6" max="6"/>
    <col width="18" customWidth="1" min="7" max="7"/>
    <col width="50" customWidth="1" min="8" max="8"/>
  </cols>
  <sheetData>
    <row r="1" ht="30" customHeight="1">
      <c r="A1" s="1" t="inlineStr">
        <is>
          <t>4 · Schedule D — capital gains and losses</t>
        </is>
      </c>
    </row>
    <row r="2" ht="16" customHeight="1">
      <c r="A2" s="2" t="inlineStr">
        <is>
          <t>A corporation deducts capital losses ONLY against capital gains (§1211(a)).  Line numbers last verified against the 2024 forms · 2026-09-09. Re-verify on irs.gov before entering anything.</t>
        </is>
      </c>
    </row>
    <row r="4" ht="46" customHeight="1">
      <c r="B4" s="41" t="inlineStr">
        <is>
          <t>🛑 Column (h) is COMPUTED here: (h) = (d) − (e) + (g).  Copy the three INPUT columns straight off the 1099-B / Form 8949 totals and let the sheet reach the gain — if the sheet's (h) disagrees with the broker's, one of the three inputs is wrong, and that is the whole point of showing the arithmetic.</t>
        </is>
      </c>
      <c r="C4" s="35" t="n"/>
      <c r="D4" s="35" t="n"/>
      <c r="E4" s="35" t="n"/>
      <c r="F4" s="35" t="n"/>
      <c r="G4" s="35" t="n"/>
      <c r="H4" s="36" t="n"/>
    </row>
    <row r="6" ht="19" customHeight="1">
      <c r="A6" s="11" t="inlineStr">
        <is>
          <t>PART I — SHORT-TERM  (Form 8949 Part I)</t>
        </is>
      </c>
    </row>
    <row r="7" ht="26" customHeight="1">
      <c r="B7" s="42" t="inlineStr">
        <is>
          <t>Line</t>
        </is>
      </c>
      <c r="C7" s="42" t="inlineStr">
        <is>
          <t>Concept</t>
        </is>
      </c>
      <c r="D7" s="42" t="inlineStr">
        <is>
          <t>(d) Proceeds</t>
        </is>
      </c>
      <c r="E7" s="42" t="inlineStr">
        <is>
          <t>(e) Cost basis</t>
        </is>
      </c>
      <c r="F7" s="42" t="inlineStr">
        <is>
          <t>(g) Adjustments</t>
        </is>
      </c>
      <c r="G7" s="42" t="inlineStr">
        <is>
          <t>(h) Gain / (loss)</t>
        </is>
      </c>
      <c r="H7" s="42" t="inlineStr">
        <is>
          <t>Note</t>
        </is>
      </c>
    </row>
    <row r="8">
      <c r="B8" s="26" t="inlineStr">
        <is>
          <t>1a</t>
        </is>
      </c>
      <c r="C8" s="27" t="inlineStr">
        <is>
          <t>Short-term 1099-B, basis reported, no adjustments</t>
        </is>
      </c>
      <c r="D8" s="21" t="n"/>
      <c r="E8" s="21" t="n"/>
      <c r="F8" s="21" t="n"/>
      <c r="G8" s="28">
        <f>N(D8)-N(E8)+N(F8)</f>
        <v/>
      </c>
      <c r="H8" s="40" t="inlineStr">
        <is>
          <t>Only if you are NOT using Form 8949 for them — by definition column (g) is blank on this line</t>
        </is>
      </c>
    </row>
    <row r="9">
      <c r="B9" s="26" t="inlineStr">
        <is>
          <t>1b</t>
        </is>
      </c>
      <c r="C9" s="27" t="inlineStr">
        <is>
          <t>Totals — Form 8949 Box A</t>
        </is>
      </c>
      <c r="D9" s="21" t="n"/>
      <c r="E9" s="21" t="n"/>
      <c r="F9" s="21" t="n"/>
      <c r="G9" s="28">
        <f>N(D9)-N(E9)+N(F9)</f>
        <v/>
      </c>
      <c r="H9" s="40" t="inlineStr">
        <is>
          <t>🛑 Wash sales go in column (g), NOT inside (h). Type the broker's proceeds, basis and disallowed wash amount and let (h) compute</t>
        </is>
      </c>
    </row>
    <row r="10">
      <c r="B10" s="26" t="inlineStr">
        <is>
          <t>2</t>
        </is>
      </c>
      <c r="C10" s="27" t="inlineStr">
        <is>
          <t>Totals — Form 8949 Box B</t>
        </is>
      </c>
      <c r="D10" s="21" t="n"/>
      <c r="E10" s="21" t="n"/>
      <c r="F10" s="21" t="n"/>
      <c r="G10" s="28">
        <f>N(D10)-N(E10)+N(F10)</f>
        <v/>
      </c>
      <c r="H10" s="40" t="inlineStr">
        <is>
          <t>Basis not reported to the IRS</t>
        </is>
      </c>
    </row>
    <row r="11">
      <c r="B11" s="26" t="inlineStr">
        <is>
          <t>3</t>
        </is>
      </c>
      <c r="C11" s="27" t="inlineStr">
        <is>
          <t>Totals — Form 8949 Box C</t>
        </is>
      </c>
      <c r="D11" s="21" t="n"/>
      <c r="E11" s="21" t="n"/>
      <c r="F11" s="21" t="n"/>
      <c r="G11" s="28">
        <f>N(D11)-N(E11)+N(F11)</f>
        <v/>
      </c>
      <c r="H11" s="40" t="inlineStr">
        <is>
          <t>Not reported on a 1099-B at all</t>
        </is>
      </c>
    </row>
    <row r="12">
      <c r="B12" s="26" t="inlineStr">
        <is>
          <t>4</t>
        </is>
      </c>
      <c r="C12" s="27" t="inlineStr">
        <is>
          <t>Short-term gain from installment sales (Form 6252)</t>
        </is>
      </c>
      <c r="D12" s="27" t="inlineStr"/>
      <c r="E12" s="27" t="inlineStr"/>
      <c r="F12" s="27" t="inlineStr"/>
      <c r="G12" s="21" t="n"/>
      <c r="H12" s="40" t="inlineStr"/>
    </row>
    <row r="13">
      <c r="B13" s="26" t="inlineStr">
        <is>
          <t>5</t>
        </is>
      </c>
      <c r="C13" s="27" t="inlineStr">
        <is>
          <t>Short-term gain or (loss) from like-kind exchanges (Form 8824)</t>
        </is>
      </c>
      <c r="D13" s="27" t="inlineStr"/>
      <c r="E13" s="27" t="inlineStr"/>
      <c r="F13" s="27" t="inlineStr"/>
      <c r="G13" s="21" t="n"/>
      <c r="H13" s="40" t="inlineStr"/>
    </row>
    <row r="14" ht="30" customHeight="1">
      <c r="B14" s="31" t="inlineStr">
        <is>
          <t>6</t>
        </is>
      </c>
      <c r="C14" s="32" t="inlineStr">
        <is>
          <t>Unused capital loss carryover  (attach computation)</t>
        </is>
      </c>
      <c r="D14" s="27" t="inlineStr"/>
      <c r="E14" s="27" t="inlineStr"/>
      <c r="F14" s="27" t="inlineStr"/>
      <c r="G14" s="21" t="n"/>
      <c r="H14" s="40" t="inlineStr">
        <is>
          <t>Only to the extent of gains. In a year with no gains this stays BLANK — which is why the pool has to be tracked outside the return.</t>
        </is>
      </c>
    </row>
    <row r="15">
      <c r="B15" s="31" t="inlineStr">
        <is>
          <t>7</t>
        </is>
      </c>
      <c r="C15" s="32" t="inlineStr">
        <is>
          <t>NET SHORT-TERM</t>
        </is>
      </c>
      <c r="D15" s="24">
        <f>SUM(D8:D11)</f>
        <v/>
      </c>
      <c r="E15" s="24">
        <f>SUM(E8:E11)</f>
        <v/>
      </c>
      <c r="F15" s="24">
        <f>SUM(F8:F11)</f>
        <v/>
      </c>
      <c r="G15" s="24">
        <f>SUM(G8:G14)</f>
        <v/>
      </c>
      <c r="H15" s="40" t="inlineStr"/>
    </row>
    <row r="17" ht="19" customHeight="1">
      <c r="A17" s="11" t="inlineStr">
        <is>
          <t>PART II — LONG-TERM  (Form 8949 Part II)</t>
        </is>
      </c>
    </row>
    <row r="18" ht="26" customHeight="1">
      <c r="B18" s="42" t="inlineStr">
        <is>
          <t>Line</t>
        </is>
      </c>
      <c r="C18" s="42" t="inlineStr">
        <is>
          <t>Concept</t>
        </is>
      </c>
      <c r="D18" s="42" t="inlineStr">
        <is>
          <t>(d) Proceeds</t>
        </is>
      </c>
      <c r="E18" s="42" t="inlineStr">
        <is>
          <t>(e) Cost basis</t>
        </is>
      </c>
      <c r="F18" s="42" t="inlineStr">
        <is>
          <t>(g) Adjustments</t>
        </is>
      </c>
      <c r="G18" s="42" t="inlineStr">
        <is>
          <t>(h) Gain / (loss)</t>
        </is>
      </c>
      <c r="H18" s="42" t="inlineStr">
        <is>
          <t>Note</t>
        </is>
      </c>
    </row>
    <row r="19">
      <c r="B19" s="26" t="inlineStr">
        <is>
          <t>8a</t>
        </is>
      </c>
      <c r="C19" s="27" t="inlineStr">
        <is>
          <t>Long-term 1099-B, basis reported, no adjustments</t>
        </is>
      </c>
      <c r="D19" s="21" t="n"/>
      <c r="E19" s="21" t="n"/>
      <c r="F19" s="21" t="n"/>
      <c r="G19" s="28">
        <f>N(D19)-N(E19)+N(F19)</f>
        <v/>
      </c>
      <c r="H19" s="40" t="inlineStr"/>
    </row>
    <row r="20">
      <c r="B20" s="26" t="inlineStr">
        <is>
          <t>8b</t>
        </is>
      </c>
      <c r="C20" s="27" t="inlineStr">
        <is>
          <t>Totals — Form 8949 Box D</t>
        </is>
      </c>
      <c r="D20" s="21" t="n"/>
      <c r="E20" s="21" t="n"/>
      <c r="F20" s="21" t="n"/>
      <c r="G20" s="28">
        <f>N(D20)-N(E20)+N(F20)</f>
        <v/>
      </c>
      <c r="H20" s="40" t="inlineStr">
        <is>
          <t>🛑 Wash sales go in column (g) here too — they are not a short-term-only phenomenon</t>
        </is>
      </c>
    </row>
    <row r="21">
      <c r="B21" s="26" t="inlineStr">
        <is>
          <t>9</t>
        </is>
      </c>
      <c r="C21" s="27" t="inlineStr">
        <is>
          <t>Totals — Form 8949 Box E</t>
        </is>
      </c>
      <c r="D21" s="21" t="n"/>
      <c r="E21" s="21" t="n"/>
      <c r="F21" s="21" t="n"/>
      <c r="G21" s="28">
        <f>N(D21)-N(E21)+N(F21)</f>
        <v/>
      </c>
      <c r="H21" s="40" t="inlineStr"/>
    </row>
    <row r="22">
      <c r="B22" s="26" t="inlineStr">
        <is>
          <t>10</t>
        </is>
      </c>
      <c r="C22" s="27" t="inlineStr">
        <is>
          <t>Totals — Form 8949 Box F</t>
        </is>
      </c>
      <c r="D22" s="21" t="n"/>
      <c r="E22" s="21" t="n"/>
      <c r="F22" s="21" t="n"/>
      <c r="G22" s="28">
        <f>N(D22)-N(E22)+N(F22)</f>
        <v/>
      </c>
      <c r="H22" s="40" t="inlineStr"/>
    </row>
    <row r="23">
      <c r="B23" s="26" t="inlineStr">
        <is>
          <t>11</t>
        </is>
      </c>
      <c r="C23" s="27" t="inlineStr">
        <is>
          <t>Gain from Form 4797</t>
        </is>
      </c>
      <c r="D23" s="27" t="inlineStr"/>
      <c r="E23" s="27" t="inlineStr"/>
      <c r="F23" s="27" t="inlineStr"/>
      <c r="G23" s="21" t="n"/>
      <c r="H23" s="40" t="inlineStr"/>
    </row>
    <row r="24">
      <c r="B24" s="26" t="inlineStr">
        <is>
          <t>12</t>
        </is>
      </c>
      <c r="C24" s="27" t="inlineStr">
        <is>
          <t>Long-term gain from installment sales</t>
        </is>
      </c>
      <c r="D24" s="27" t="inlineStr"/>
      <c r="E24" s="27" t="inlineStr"/>
      <c r="F24" s="27" t="inlineStr"/>
      <c r="G24" s="21" t="n"/>
      <c r="H24" s="40" t="inlineStr"/>
    </row>
    <row r="25">
      <c r="B25" s="26" t="inlineStr">
        <is>
          <t>13</t>
        </is>
      </c>
      <c r="C25" s="27" t="inlineStr">
        <is>
          <t>Long-term gain or (loss) from like-kind exchanges</t>
        </is>
      </c>
      <c r="D25" s="27" t="inlineStr"/>
      <c r="E25" s="27" t="inlineStr"/>
      <c r="F25" s="27" t="inlineStr"/>
      <c r="G25" s="21" t="n"/>
      <c r="H25" s="40" t="inlineStr"/>
    </row>
    <row r="26">
      <c r="B26" s="26" t="inlineStr">
        <is>
          <t>14</t>
        </is>
      </c>
      <c r="C26" s="27" t="inlineStr">
        <is>
          <t>CAPITAL GAIN DISTRIBUTIONS  (1099-DIV box 2a)</t>
        </is>
      </c>
      <c r="D26" s="27" t="inlineStr"/>
      <c r="E26" s="27" t="inlineStr"/>
      <c r="F26" s="27" t="inlineStr"/>
      <c r="G26" s="21" t="n"/>
      <c r="H26" s="40" t="inlineStr">
        <is>
          <t>🔑 ALWAYS long-term, however long the fund was held — and they are NOT dividends. Take them OUT of Schedule C</t>
        </is>
      </c>
    </row>
    <row r="27">
      <c r="B27" s="31" t="inlineStr">
        <is>
          <t>15</t>
        </is>
      </c>
      <c r="C27" s="32" t="inlineStr">
        <is>
          <t>NET LONG-TERM</t>
        </is>
      </c>
      <c r="D27" s="24">
        <f>SUM(D19:D22)</f>
        <v/>
      </c>
      <c r="E27" s="24">
        <f>SUM(E19:E22)</f>
        <v/>
      </c>
      <c r="F27" s="24">
        <f>SUM(F19:F22)</f>
        <v/>
      </c>
      <c r="G27" s="24">
        <f>SUM(G19:G26)</f>
        <v/>
      </c>
      <c r="H27" s="40" t="inlineStr"/>
    </row>
    <row r="29" ht="19" customHeight="1">
      <c r="A29" s="12" t="inlineStr">
        <is>
          <t>PROOF — the arithmetic, out loud</t>
        </is>
      </c>
    </row>
    <row r="30">
      <c r="C30" s="27" t="inlineStr">
        <is>
          <t>Short-term  (lines 1a–3):  proceeds − basis + adjustments  =  gain / (loss)</t>
        </is>
      </c>
      <c r="D30" s="28">
        <f>D15</f>
        <v/>
      </c>
      <c r="E30" s="28">
        <f>-E15</f>
        <v/>
      </c>
      <c r="F30" s="28">
        <f>F15</f>
        <v/>
      </c>
      <c r="G30" s="24">
        <f>N(D15)-N(E15)+N(F15)</f>
        <v/>
      </c>
      <c r="H30" s="31">
        <f>IF(AND(N(G30)=0,N(SUM(G8:G11))=0),"—",IF(ABS(N(G30)-N(SUM(G8:G11)))&lt;0.005,"PASS","CHECK"))</f>
        <v/>
      </c>
    </row>
    <row r="31">
      <c r="C31" s="27" t="inlineStr">
        <is>
          <t>Long-term  (lines 8a–10):  proceeds − basis + adjustments  =  gain / (loss)</t>
        </is>
      </c>
      <c r="D31" s="28">
        <f>D27</f>
        <v/>
      </c>
      <c r="E31" s="28">
        <f>-E27</f>
        <v/>
      </c>
      <c r="F31" s="28">
        <f>F27</f>
        <v/>
      </c>
      <c r="G31" s="24">
        <f>N(D27)-N(E27)+N(F27)</f>
        <v/>
      </c>
      <c r="H31" s="31">
        <f>IF(AND(N(G31)=0,N(SUM(G19:G22))=0),"—",IF(ABS(N(G31)-N(SUM(G19:G22)))&lt;0.005,"PASS","CHECK"))</f>
        <v/>
      </c>
    </row>
    <row r="32" ht="26" customHeight="1">
      <c r="C32" s="40" t="inlineStr">
        <is>
          <t>Both rows must read PASS. A CHECK means a column (h) above was overtyped, or a wash-sale adjustment was buried inside (h) instead of entered in (g).</t>
        </is>
      </c>
      <c r="D32" s="35" t="n"/>
      <c r="E32" s="35" t="n"/>
      <c r="F32" s="35" t="n"/>
      <c r="G32" s="35" t="n"/>
      <c r="H32" s="36" t="n"/>
    </row>
    <row r="34" ht="19" customHeight="1">
      <c r="A34" s="11" t="inlineStr">
        <is>
          <t>PART III — SUMMARY</t>
        </is>
      </c>
    </row>
    <row r="35">
      <c r="B35" s="26" t="inlineStr">
        <is>
          <t>16</t>
        </is>
      </c>
      <c r="C35" s="27" t="inlineStr">
        <is>
          <t>Excess of net short-term gain over net long-term loss</t>
        </is>
      </c>
      <c r="G35" s="28">
        <f>IF(AND(G15&gt;0,G27&lt;0),MAX(0,G15+G27),0)</f>
        <v/>
      </c>
    </row>
    <row r="36">
      <c r="B36" s="26" t="inlineStr">
        <is>
          <t>17</t>
        </is>
      </c>
      <c r="C36" s="27" t="inlineStr">
        <is>
          <t>Net capital gain — excess of net long-term gain over net short-term loss</t>
        </is>
      </c>
      <c r="G36" s="28">
        <f>IF(AND(G27&gt;0,G15&lt;0),MAX(0,G15+G27),IF(AND(G27&gt;0,G15&gt;=0),G27,0))</f>
        <v/>
      </c>
    </row>
    <row r="37">
      <c r="B37" s="31" t="inlineStr">
        <is>
          <t>18</t>
        </is>
      </c>
      <c r="C37" s="32" t="inlineStr">
        <is>
          <t>TOTAL  → page 1 line 8</t>
        </is>
      </c>
      <c r="G37" s="24">
        <f>MAX(0,G15+G27)</f>
        <v/>
      </c>
      <c r="H37" s="41" t="inlineStr">
        <is>
          <t>🛑 Floored at ZERO. A net capital loss puts NOTHING on page 1.</t>
        </is>
      </c>
    </row>
    <row r="39" ht="19" customHeight="1">
      <c r="A39" s="11" t="inlineStr">
        <is>
          <t>THE NET POSITION, AND THE POOL NOTHING ELSE RECORDS</t>
        </is>
      </c>
    </row>
    <row r="40">
      <c r="C40" s="32" t="inlineStr">
        <is>
          <t>Net capital gain / (loss) for the year</t>
        </is>
      </c>
      <c r="G40" s="24">
        <f>G15+G27</f>
        <v/>
      </c>
    </row>
    <row r="41">
      <c r="C41" s="27" t="inlineStr">
        <is>
          <t>Of which DEDUCTIBLE this year</t>
        </is>
      </c>
      <c r="G41" s="28">
        <f>MAX(0,G15+G27)</f>
        <v/>
      </c>
      <c r="H41" s="40" t="inlineStr">
        <is>
          <t>A loss deducts nothing. §1211(a).</t>
        </is>
      </c>
    </row>
    <row r="42">
      <c r="C42" s="32" t="inlineStr">
        <is>
          <t>NOT deductible — goes to Schedule M-1 line 3</t>
        </is>
      </c>
      <c r="G42" s="24">
        <f>MAX(0,-(G15+G27))</f>
        <v/>
      </c>
      <c r="H42" s="40" t="inlineStr">
        <is>
          <t>Tab 9 picks this up automatically.</t>
        </is>
      </c>
    </row>
    <row r="44">
      <c r="C44" s="27" t="inlineStr">
        <is>
          <t>Pool brought forward from prior years</t>
        </is>
      </c>
      <c r="G44" s="19">
        <f>'0-Client'!$C$22</f>
        <v/>
      </c>
    </row>
    <row r="45">
      <c r="C45" s="27" t="inlineStr">
        <is>
          <t>Used this year against gains</t>
        </is>
      </c>
      <c r="G45" s="28">
        <f>MIN(N('0-Client'!$C$22),MAX(0,G15+G27))</f>
        <v/>
      </c>
      <c r="H45" s="41" t="inlineStr">
        <is>
          <t>Enter this on line 6 above — and ONLY this much.</t>
        </is>
      </c>
    </row>
    <row r="46">
      <c r="C46" s="27" t="inlineStr">
        <is>
          <t>Added this year</t>
        </is>
      </c>
      <c r="G46" s="28">
        <f>MAX(0,-(G15+G27))</f>
        <v/>
      </c>
    </row>
    <row r="47" ht="42" customHeight="1">
      <c r="C47" s="43" t="inlineStr">
        <is>
          <t>POOL CARRIED FORWARD</t>
        </is>
      </c>
      <c r="G47" s="24">
        <f>N('0-Client'!$C$22)-$G$45+MAX(0,-(G15+G27))</f>
        <v/>
      </c>
      <c r="H47" s="41" t="inlineStr">
        <is>
          <t>🛑 Carry it to tab 12. Line 6 is BLANK in a year with no gains, so the filed return records this pool NOWHERE. Back 3 years, forward 5; short-term when used.</t>
        </is>
      </c>
    </row>
    <row r="48">
      <c r="C48" s="27" t="inlineStr">
        <is>
          <t>Earliest year in the pool → expires after</t>
        </is>
      </c>
      <c r="G48" s="44">
        <f>IF(N('0-Client'!$C$23)=0,"—",N('0-Client'!$C$23)+5)</f>
        <v/>
      </c>
    </row>
  </sheetData>
  <mergeCells count="9">
    <mergeCell ref="C32:H32"/>
    <mergeCell ref="A39:H39"/>
    <mergeCell ref="A29:H29"/>
    <mergeCell ref="A34:H34"/>
    <mergeCell ref="B4:H4"/>
    <mergeCell ref="A2:H2"/>
    <mergeCell ref="A1:H1"/>
    <mergeCell ref="A6:H6"/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50" customWidth="1" min="2" max="2"/>
    <col width="19" customWidth="1" min="3" max="3"/>
    <col width="19" customWidth="1" min="4" max="4"/>
    <col width="19" customWidth="1" min="5" max="5"/>
    <col width="13" customWidth="1" min="6" max="6"/>
    <col width="50" customWidth="1" min="7" max="7"/>
  </cols>
  <sheetData>
    <row r="1" ht="30" customHeight="1">
      <c r="A1" s="1" t="inlineStr">
        <is>
          <t>5 · Brokerage accounts — the year-end split</t>
        </is>
      </c>
    </row>
    <row r="2" ht="16" customHeight="1">
      <c r="A2" s="2" t="inlineStr">
        <is>
          <t>Procedure: projects/sops/brokerage-investment-accounts.md · do this BEFORE tabs 3 and 4</t>
        </is>
      </c>
    </row>
    <row r="4" ht="42" customHeight="1">
      <c r="B4" s="4" t="inlineStr">
        <is>
          <t>The books carry the account at MARKET value, so the monthly entry's balancing line absorbs REALIZED and UNREALIZED movement in one number — and only one of the two is taxable. Separating them is this tab. Skip it entirely if the client holds no brokerage account.</t>
        </is>
      </c>
    </row>
    <row r="5" ht="19" customHeight="1">
      <c r="A5" s="11" t="inlineStr">
        <is>
          <t>THE THREE DOCUMENTS — none is optional</t>
        </is>
      </c>
    </row>
    <row r="6" ht="28" customHeight="1">
      <c r="B6" s="16" t="n"/>
      <c r="C6" s="7" t="inlineStr">
        <is>
          <t>Consolidated Form 1099 — ONE PER ACCOUNT</t>
        </is>
      </c>
      <c r="E6" s="15" t="inlineStr">
        <is>
          <t>The tax figures: dividends by box, realized gain/loss split short vs long, wash sales, foreign tax, and the year's fees</t>
        </is>
      </c>
    </row>
    <row r="7" ht="28" customHeight="1">
      <c r="B7" s="16" t="n"/>
      <c r="C7" s="7" t="inlineStr">
        <is>
          <t>The DECEMBER (year-end) statement</t>
        </is>
      </c>
      <c r="E7" s="15" t="inlineStr">
        <is>
          <t>The book figures and every tie below. ⚠ One statement can cover several accounts — its summary will say Managed(2) or similar</t>
        </is>
      </c>
    </row>
    <row r="8" ht="28" customHeight="1">
      <c r="B8" s="16" t="n"/>
      <c r="C8" s="7" t="inlineStr">
        <is>
          <t>Last year's FILED return</t>
        </is>
      </c>
      <c r="E8" s="15" t="inlineStr">
        <is>
          <t>The opening position: cumulative unrealized, the capital-loss pool, and last year's presentation</t>
        </is>
      </c>
    </row>
    <row r="9">
      <c r="C9" s="8" t="inlineStr">
        <is>
          <t>1099 version worked from:</t>
        </is>
      </c>
      <c r="D9" s="16" t="n"/>
      <c r="E9" s="10" t="inlineStr">
        <is>
          <t>Check before filing whether a CORRECTED 1099 has been issued.</t>
        </is>
      </c>
    </row>
    <row r="11" ht="19" customHeight="1">
      <c r="A11" s="11" t="inlineStr">
        <is>
          <t>THE FIVE TIES — all five pass, or the split below is a guess</t>
        </is>
      </c>
    </row>
    <row r="12">
      <c r="B12" s="23" t="inlineStr">
        <is>
          <t>Check</t>
        </is>
      </c>
      <c r="C12" s="23" t="inlineStr">
        <is>
          <t>Account 1</t>
        </is>
      </c>
      <c r="D12" s="23" t="inlineStr">
        <is>
          <t>Account 2</t>
        </is>
      </c>
      <c r="E12" s="23" t="inlineStr">
        <is>
          <t>TOTAL — books</t>
        </is>
      </c>
      <c r="F12" s="23" t="inlineStr">
        <is>
          <t>Tie</t>
        </is>
      </c>
      <c r="G12" s="23" t="inlineStr">
        <is>
          <t>Statement says</t>
        </is>
      </c>
    </row>
    <row r="13">
      <c r="B13" s="27" t="inlineStr">
        <is>
          <t>Account number (last 4)</t>
        </is>
      </c>
      <c r="C13" s="16" t="n"/>
      <c r="D13" s="16" t="n"/>
      <c r="E13" s="27" t="inlineStr"/>
      <c r="F13" s="27" t="inlineStr"/>
      <c r="G13" s="27" t="inlineStr"/>
    </row>
    <row r="14">
      <c r="B14" s="27" t="inlineStr">
        <is>
          <t>1 · Beginning value at 31 Dec LAST year</t>
        </is>
      </c>
      <c r="C14" s="21" t="n"/>
      <c r="D14" s="21" t="n"/>
      <c r="E14" s="28">
        <f>N(C14)+N(D14)</f>
        <v/>
      </c>
      <c r="G14" s="40" t="inlineStr">
        <is>
          <t>Statement · Beginning Account Value, year-to-date</t>
        </is>
      </c>
    </row>
    <row r="15" ht="30" customHeight="1">
      <c r="B15" s="27" t="inlineStr">
        <is>
          <t>2 · Net deposits / withdrawals for the year</t>
        </is>
      </c>
      <c r="C15" s="21" t="n"/>
      <c r="D15" s="21" t="n"/>
      <c r="E15" s="28">
        <f>N(C15)+N(D15)</f>
        <v/>
      </c>
      <c r="G15" s="40" t="inlineStr">
        <is>
          <t>🔎 NOT a tie — the PROOF of whether cash moved. Zero net means the whole change is performance. A transfer between the client's own accounts nets to zero across the pair</t>
        </is>
      </c>
    </row>
    <row r="16">
      <c r="B16" s="27" t="inlineStr">
        <is>
          <t>3 · Income year-to-date</t>
        </is>
      </c>
      <c r="C16" s="21" t="n"/>
      <c r="D16" s="21" t="n"/>
      <c r="E16" s="28">
        <f>N(C16)+N(D16)</f>
        <v/>
      </c>
      <c r="G16" s="40" t="inlineStr">
        <is>
          <t>Statement · Income YTD. Must equal the book Dividend Income account</t>
        </is>
      </c>
    </row>
    <row r="17">
      <c r="B17" s="27" t="inlineStr">
        <is>
          <t>4 · Fees year-to-date  (enter POSITIVE)</t>
        </is>
      </c>
      <c r="C17" s="21" t="n"/>
      <c r="D17" s="21" t="n"/>
      <c r="E17" s="28">
        <f>N(C17)+N(D17)</f>
        <v/>
      </c>
      <c r="G17" s="40" t="inlineStr">
        <is>
          <t>Statement · Fees YTD. Must also equal the 1099's own fee schedule</t>
        </is>
      </c>
    </row>
    <row r="18" ht="30" customHeight="1">
      <c r="B18" s="32" t="inlineStr">
        <is>
          <t>5 · CHANGE IN INVESTMENT VALUE year-to-date</t>
        </is>
      </c>
      <c r="C18" s="21" t="n"/>
      <c r="D18" s="21" t="n"/>
      <c r="E18" s="24">
        <f>N(C18)+N(D18)</f>
        <v/>
      </c>
      <c r="G18" s="40" t="inlineStr">
        <is>
          <t>⭐ The statement prints this. It is realized + unrealized combined — the figure the whole split runs off</t>
        </is>
      </c>
    </row>
    <row r="19" ht="30" customHeight="1">
      <c r="B19" s="32" t="inlineStr">
        <is>
          <t xml:space="preserve">   Ending value at 31 Dec THIS year</t>
        </is>
      </c>
      <c r="C19" s="21" t="n"/>
      <c r="D19" s="21" t="n"/>
      <c r="E19" s="24">
        <f>N(C19)+N(D19)</f>
        <v/>
      </c>
      <c r="G19" s="40" t="inlineStr">
        <is>
          <t>Statement · Ending Account Value. Use 'with accruals' if both are shown — and use the SAME convention every year</t>
        </is>
      </c>
    </row>
    <row r="20">
      <c r="B20" s="32" t="inlineStr">
        <is>
          <t>Roll-forward:  beginning + deposits + income − fees + change</t>
        </is>
      </c>
      <c r="C20" s="24">
        <f>N(C14)+N(C15)+N(C16)-N(C17)+N(C18)</f>
        <v/>
      </c>
      <c r="D20" s="24">
        <f>N(D14)+N(D15)+N(D16)-N(D17)+N(D18)</f>
        <v/>
      </c>
      <c r="E20" s="24">
        <f>N(E14)+N(E15)+N(E16)-N(E17)+N(E18)</f>
        <v/>
      </c>
      <c r="G20" s="30" t="inlineStr">
        <is>
          <t>Must equal the ending value, to the cent, per account AND in total.</t>
        </is>
      </c>
    </row>
    <row r="21" ht="44" customHeight="1">
      <c r="B21" s="32" t="inlineStr">
        <is>
          <t>→ does it equal the ending value?</t>
        </is>
      </c>
      <c r="C21" s="31">
        <f>IF(AND(N(C20)=0,N(C19)=0),"—",IF(ABS(N(C20)-N(C19))&lt;0.005,"PASS","CHECK"))</f>
        <v/>
      </c>
      <c r="D21" s="31">
        <f>IF(AND(N(D20)=0,N(D19)=0),"—",IF(ABS(N(D20)-N(D19))&lt;0.005,"PASS","CHECK"))</f>
        <v/>
      </c>
      <c r="E21" s="31">
        <f>IF(AND(N(E20)=0,N(E19)=0),"—",IF(ABS(N(E20)-N(E19))&lt;0.005,"PASS","CHECK"))</f>
        <v/>
      </c>
      <c r="G21" s="41" t="inlineStr">
        <is>
          <t>A CHECK here, in order of likelihood: a month was never booked · a deposit went through the plug instead of being posted as a transfer · 'with accruals' mixed with 'without' between years · an entry posted to the wrong account of the pair.</t>
        </is>
      </c>
    </row>
    <row r="22">
      <c r="B22" s="27" t="inlineStr">
        <is>
          <t>Books — Dividend Income account for the year</t>
        </is>
      </c>
      <c r="C22" s="27" t="inlineStr"/>
      <c r="D22" s="27" t="inlineStr"/>
      <c r="E22" s="21" t="n"/>
      <c r="F22" s="31">
        <f>IF(AND(N(E22)=0,N(E16)=0),"—",IF(ABS(N(E22)-N(E16))&lt;0.005,"PASS","CHECK"))</f>
        <v/>
      </c>
      <c r="G22" s="30" t="inlineStr">
        <is>
          <t>Tie 3.</t>
        </is>
      </c>
    </row>
    <row r="23">
      <c r="B23" s="27" t="inlineStr">
        <is>
          <t>Books — fees account for the year</t>
        </is>
      </c>
      <c r="C23" s="27" t="inlineStr"/>
      <c r="D23" s="27" t="inlineStr"/>
      <c r="E23" s="21" t="n"/>
      <c r="F23" s="31">
        <f>IF(AND(N(E23)=0,N(E17)=0),"—",IF(ABS(N(E23)-N(E17))&lt;0.005,"PASS","CHECK"))</f>
        <v/>
      </c>
      <c r="G23" s="30" t="inlineStr">
        <is>
          <t>Tie 4. Also compare to the 1099's fee schedule.</t>
        </is>
      </c>
    </row>
    <row r="24">
      <c r="B24" s="27" t="inlineStr">
        <is>
          <t>Books — Investment Income/Loss, parent AND every sub-account</t>
        </is>
      </c>
      <c r="C24" s="27" t="inlineStr"/>
      <c r="D24" s="27" t="inlineStr"/>
      <c r="E24" s="21" t="n"/>
      <c r="F24" s="31">
        <f>IF(AND(N(E24)=0,N(E18)=0),"—",IF(ABS(N(E24)-N(E18))&lt;0.005,"PASS","CHECK"))</f>
        <v/>
      </c>
      <c r="G24" s="30" t="inlineStr">
        <is>
          <t>Tie 5 — the important one. Add the parent and all children.</t>
        </is>
      </c>
    </row>
    <row r="26" ht="19" customHeight="1">
      <c r="A26" s="11" t="inlineStr">
        <is>
          <t>THE SPLIT</t>
        </is>
      </c>
    </row>
    <row r="27">
      <c r="B27" s="27" t="inlineStr">
        <is>
          <t>Change in investment value for the year</t>
        </is>
      </c>
      <c r="E27" s="19">
        <f>E18</f>
        <v/>
      </c>
    </row>
    <row r="28">
      <c r="B28" s="27" t="inlineStr">
        <is>
          <t>less  1099-B NET realized gain / (loss), all accounts, short + long</t>
        </is>
      </c>
      <c r="E28" s="21" t="n"/>
      <c r="G28" s="30" t="inlineStr">
        <is>
          <t>Also feeds Schedule D (tab 4). Enter a loss as a NEGATIVE.</t>
        </is>
      </c>
    </row>
    <row r="29">
      <c r="B29" s="43" t="inlineStr">
        <is>
          <t>→ UNREALIZED gain / (loss) for the year</t>
        </is>
      </c>
      <c r="E29" s="24">
        <f>E27-N(E28)</f>
        <v/>
      </c>
      <c r="G29" s="45" t="inlineStr">
        <is>
          <t>🛑 Goes to Schedule M-1 (tab 9) — which line depends on the SIGN. Tab 9 decides it.</t>
        </is>
      </c>
    </row>
    <row r="31" ht="19" customHeight="1">
      <c r="A31" s="11" t="inlineStr">
        <is>
          <t>THE CROSS-CHECK</t>
        </is>
      </c>
    </row>
    <row r="32">
      <c r="B32" s="27" t="inlineStr">
        <is>
          <t>Cumulative unrealized at 1 January  (tab 0)</t>
        </is>
      </c>
      <c r="E32" s="19">
        <f>'0-Client'!$C$25</f>
        <v/>
      </c>
    </row>
    <row r="33">
      <c r="B33" s="27" t="inlineStr">
        <is>
          <t>plus this year's unrealized</t>
        </is>
      </c>
      <c r="E33" s="19">
        <f>E29</f>
        <v/>
      </c>
    </row>
    <row r="34">
      <c r="B34" s="32" t="inlineStr">
        <is>
          <t>→ expected cumulative at 31 December</t>
        </is>
      </c>
      <c r="E34" s="24">
        <f>E32+E33</f>
        <v/>
      </c>
    </row>
    <row r="35">
      <c r="B35" s="27" t="inlineStr">
        <is>
          <t>Statement's own cumulative unrealized position at 31 December</t>
        </is>
      </c>
      <c r="E35" s="21" t="n"/>
      <c r="G35" s="30" t="inlineStr">
        <is>
          <t>Enter the short-term and long-term parts below for tab 12.</t>
        </is>
      </c>
    </row>
    <row r="36" ht="42" customHeight="1">
      <c r="B36" s="43" t="inlineStr">
        <is>
          <t>RESIDUAL</t>
        </is>
      </c>
      <c r="E36" s="24">
        <f>E35-E34</f>
        <v/>
      </c>
      <c r="F36" s="46">
        <f>IF(N(E35)=0,"—",IF(ABS(E36)&lt;MAX(100,ABS(E35)*0.005),"OK","CHECK"))</f>
        <v/>
      </c>
      <c r="G36" s="40" t="inlineStr">
        <is>
          <t>Tens or a few hundred dollars is the NORMAL residual — the statement excludes positions with no cost basis and omits wash sales from the last business day. Thousands is an error: go back to the five ties.</t>
        </is>
      </c>
    </row>
    <row r="37">
      <c r="B37" s="27" t="inlineStr">
        <is>
          <t>of which short-term</t>
        </is>
      </c>
      <c r="E37" s="21" t="n"/>
    </row>
    <row r="38">
      <c r="B38" s="27" t="inlineStr">
        <is>
          <t>of which long-term</t>
        </is>
      </c>
      <c r="E38" s="21" t="n"/>
    </row>
    <row r="40" ht="19" customHeight="1">
      <c r="A40" s="11" t="inlineStr">
        <is>
          <t>THE ONE ENTRY TO POST, DATED 31 DECEMBER</t>
        </is>
      </c>
    </row>
    <row r="41" ht="26" customHeight="1">
      <c r="B41" s="15" t="inlineStr">
        <is>
          <t>Net income does not move and the balance sheet is untouched. It exists so next year can READ the two figures instead of deriving them.</t>
        </is>
      </c>
    </row>
    <row r="42">
      <c r="B42" s="23" t="inlineStr">
        <is>
          <t>Account</t>
        </is>
      </c>
      <c r="C42" s="23" t="inlineStr">
        <is>
          <t>Balance now</t>
        </is>
      </c>
      <c r="D42" s="23" t="inlineStr">
        <is>
          <t>Should be</t>
        </is>
      </c>
      <c r="E42" s="23" t="inlineStr">
        <is>
          <t>Debit</t>
        </is>
      </c>
      <c r="F42" s="23" t="inlineStr">
        <is>
          <t>Credit</t>
        </is>
      </c>
      <c r="G42" s="23" t="inlineStr"/>
    </row>
    <row r="43">
      <c r="B43" s="27" t="inlineStr">
        <is>
          <t>Investment Income/Loss  (parent — REALIZED)</t>
        </is>
      </c>
      <c r="C43" s="21" t="n"/>
      <c r="D43" s="28">
        <f>N(E28)</f>
        <v/>
      </c>
      <c r="E43" s="28">
        <f>IF(N(C43)&gt;D43,N(C43)-D43,0)</f>
        <v/>
      </c>
      <c r="F43" s="28">
        <f>IF(N(C43)&lt;D43,D43-N(C43),0)</f>
        <v/>
      </c>
      <c r="G43" s="30" t="inlineStr">
        <is>
          <t>Income accounts: a credit balance is positive.</t>
        </is>
      </c>
    </row>
    <row r="44">
      <c r="B44" s="27" t="inlineStr">
        <is>
          <t>Investment Income/Loss : Unrealized Gain/Loss</t>
        </is>
      </c>
      <c r="C44" s="21" t="n"/>
      <c r="D44" s="28">
        <f>E29</f>
        <v/>
      </c>
      <c r="E44" s="28">
        <f>IF(N(C44)&gt;D44,N(C44)-D44,0)</f>
        <v/>
      </c>
      <c r="F44" s="28">
        <f>IF(N(C44)&lt;D44,D44-N(C44),0)</f>
        <v/>
      </c>
    </row>
    <row r="45">
      <c r="B45" s="32" t="inlineStr">
        <is>
          <t>Totals — must be equal</t>
        </is>
      </c>
      <c r="C45" s="27" t="inlineStr"/>
      <c r="D45" s="27" t="inlineStr"/>
      <c r="E45" s="24">
        <f>SUM(E43:E44)</f>
        <v/>
      </c>
      <c r="F45" s="24">
        <f>SUM(F43:F44)</f>
        <v/>
      </c>
      <c r="G45" s="31">
        <f>IF(AND(N(E45)=0,N(F45)=0),"—",IF(ABS(N(E45)-N(F45))&lt;0.005,"PASS","CHECK"))</f>
        <v/>
      </c>
    </row>
    <row r="46">
      <c r="B46" s="27" t="inlineStr">
        <is>
          <t>Posted?</t>
        </is>
      </c>
      <c r="C46" s="16" t="n"/>
      <c r="D46" s="36" t="n"/>
    </row>
    <row r="48" ht="19" customHeight="1">
      <c r="A48" s="12" t="inlineStr">
        <is>
          <t>WHAT TO CARRY TO THE OTHER TABS</t>
        </is>
      </c>
    </row>
    <row r="49">
      <c r="B49" s="27" t="inlineStr">
        <is>
          <t>1099-DIV box 1a, all accounts  → tab 3, 'Total ordinary dividends received'</t>
        </is>
      </c>
      <c r="E49" s="21" t="n"/>
    </row>
    <row r="50">
      <c r="B50" s="27" t="inlineStr">
        <is>
          <t>1099-DIV box 2a capital gain distributions  → tab 4 line 14</t>
        </is>
      </c>
      <c r="E50" s="21" t="n"/>
      <c r="G50" s="45" t="inlineStr">
        <is>
          <t>Long-term, always. NOT a dividend.</t>
        </is>
      </c>
    </row>
    <row r="51">
      <c r="B51" s="27" t="inlineStr">
        <is>
          <t>1099-DIV box 3 nondividend distributions (return of capital)</t>
        </is>
      </c>
      <c r="E51" s="21" t="n"/>
      <c r="G51" s="30" t="inlineStr">
        <is>
          <t>Not income anywhere. Reduces basis — carry it to tab 12.</t>
        </is>
      </c>
    </row>
    <row r="52">
      <c r="B52" s="27" t="inlineStr">
        <is>
          <t>1099-DIV box 7 foreign tax paid</t>
        </is>
      </c>
      <c r="E52" s="21" t="n"/>
      <c r="G52" s="30" t="inlineStr">
        <is>
          <t>Deduct it, or credit it on Form 1118. Often not in the books at all.</t>
        </is>
      </c>
    </row>
    <row r="53" ht="30" customHeight="1">
      <c r="B53" s="32" t="inlineStr">
        <is>
          <t>Book dividends LESS 1099 box 1a AND box 2a  → Schedule M-1 line 7c</t>
        </is>
      </c>
      <c r="E53" s="24">
        <f>N(E22)-N(E49)-N(E50)</f>
        <v/>
      </c>
      <c r="G53" s="41" t="inlineStr">
        <is>
          <t>⛔ Do NOT adjust the books. The books follow the STATEMENT, the return follows the 1099, and this difference goes on Schedule M-1 — tab 9 picks it up. Box 2a is subtracted because it IS taxable, on Schedule D; box 3 needs no separate line because it is already inside the book figure.</t>
        </is>
      </c>
    </row>
    <row r="54">
      <c r="B54" s="32" t="inlineStr">
        <is>
          <t>Tax cost basis of the portfolio at 31 December</t>
        </is>
      </c>
      <c r="E54" s="24">
        <f>N(E19)-N(E35)</f>
        <v/>
      </c>
      <c r="G54" s="30" t="inlineStr">
        <is>
          <t>Book carrying value less cumulative unrealized. Carry to tab 12.</t>
        </is>
      </c>
    </row>
  </sheetData>
  <mergeCells count="18">
    <mergeCell ref="C6:D6"/>
    <mergeCell ref="A1:G1"/>
    <mergeCell ref="C7:D7"/>
    <mergeCell ref="C8:D8"/>
    <mergeCell ref="A31:G31"/>
    <mergeCell ref="A40:G40"/>
    <mergeCell ref="C46:D46"/>
    <mergeCell ref="E8:G8"/>
    <mergeCell ref="B41:G41"/>
    <mergeCell ref="A48:G48"/>
    <mergeCell ref="A26:G26"/>
    <mergeCell ref="B4:G4"/>
    <mergeCell ref="A2:G2"/>
    <mergeCell ref="E9:G9"/>
    <mergeCell ref="A11:G11"/>
    <mergeCell ref="E7:G7"/>
    <mergeCell ref="E6:G6"/>
    <mergeCell ref="A5:G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8" customWidth="1" min="2" max="2"/>
    <col width="52" customWidth="1" min="3" max="3"/>
    <col width="20" customWidth="1" min="4" max="4"/>
    <col width="13" customWidth="1" min="5" max="5"/>
    <col width="54" customWidth="1" min="6" max="6"/>
  </cols>
  <sheetData>
    <row r="1" ht="30" customHeight="1">
      <c r="A1" s="1" t="inlineStr">
        <is>
          <t>6 · Schedule J — the tax, and what has been paid</t>
        </is>
      </c>
    </row>
    <row r="2" ht="16" customHeight="1">
      <c r="A2" s="2" t="inlineStr">
        <is>
          <t>A C-corporation pays a FLAT 21% (§11(b)).  Line numbers last verified against the 2024 forms · 2026-09-09. Re-verify on irs.gov before entering anything.</t>
        </is>
      </c>
    </row>
    <row r="4" ht="19" customHeight="1">
      <c r="A4" s="11" t="inlineStr">
        <is>
          <t>THE TAX</t>
        </is>
      </c>
    </row>
    <row r="5">
      <c r="B5" s="23" t="inlineStr">
        <is>
          <t>Line</t>
        </is>
      </c>
      <c r="C5" s="47" t="inlineStr"/>
      <c r="D5" s="23" t="inlineStr">
        <is>
          <t>Amount</t>
        </is>
      </c>
      <c r="E5" s="23" t="inlineStr">
        <is>
          <t>Typed?</t>
        </is>
      </c>
      <c r="F5" s="23" t="inlineStr">
        <is>
          <t>Note</t>
        </is>
      </c>
    </row>
    <row r="6">
      <c r="B6" s="26" t="inlineStr">
        <is>
          <t>—</t>
        </is>
      </c>
      <c r="C6" s="27" t="inlineStr">
        <is>
          <t>Taxable income  (page 1 line 30)</t>
        </is>
      </c>
      <c r="D6" s="19">
        <f>'2-Page1'!$D$42</f>
        <v/>
      </c>
      <c r="E6" s="29" t="inlineStr">
        <is>
          <t>computed</t>
        </is>
      </c>
      <c r="F6" s="30" t="inlineStr">
        <is>
          <t>Tab 2</t>
        </is>
      </c>
    </row>
    <row r="7">
      <c r="B7" s="26" t="inlineStr">
        <is>
          <t>—</t>
        </is>
      </c>
      <c r="C7" s="27" t="inlineStr">
        <is>
          <t>Corporate rate</t>
        </is>
      </c>
      <c r="D7" s="48" t="n">
        <v>0.21</v>
      </c>
      <c r="E7" s="33" t="inlineStr">
        <is>
          <t>TYPED</t>
        </is>
      </c>
      <c r="F7" s="45" t="inlineStr">
        <is>
          <t>21% since 2018. Re-verify each year — this is the one rate that would change everything.</t>
        </is>
      </c>
    </row>
    <row r="8">
      <c r="B8" s="31" t="inlineStr">
        <is>
          <t>2</t>
        </is>
      </c>
      <c r="C8" s="32" t="inlineStr">
        <is>
          <t>Income tax</t>
        </is>
      </c>
      <c r="D8" s="24">
        <f>ROUND(MAX(0,D6)*D7,0)</f>
        <v/>
      </c>
      <c r="E8" s="29" t="inlineStr">
        <is>
          <t>computed</t>
        </is>
      </c>
      <c r="F8" s="30" t="inlineStr">
        <is>
          <t>Flat rate on taxable income</t>
        </is>
      </c>
    </row>
    <row r="9">
      <c r="B9" s="26" t="inlineStr">
        <is>
          <t>3</t>
        </is>
      </c>
      <c r="C9" s="27" t="inlineStr">
        <is>
          <t>Base erosion minimum tax  (Form 8991)</t>
        </is>
      </c>
      <c r="D9" s="21" t="n"/>
      <c r="E9" s="33" t="inlineStr">
        <is>
          <t>TYPED</t>
        </is>
      </c>
      <c r="F9" s="30" t="inlineStr">
        <is>
          <t>Large corporations only — normally blank</t>
        </is>
      </c>
    </row>
    <row r="10">
      <c r="B10" s="26" t="inlineStr">
        <is>
          <t>4</t>
        </is>
      </c>
      <c r="C10" s="27" t="inlineStr">
        <is>
          <t>Add lines 2 and 3</t>
        </is>
      </c>
      <c r="D10" s="28">
        <f>D8+D9</f>
        <v/>
      </c>
      <c r="E10" s="29" t="inlineStr">
        <is>
          <t>computed</t>
        </is>
      </c>
      <c r="F10" s="30" t="inlineStr"/>
    </row>
    <row r="11">
      <c r="B11" s="26" t="inlineStr">
        <is>
          <t>5a</t>
        </is>
      </c>
      <c r="C11" s="27" t="inlineStr">
        <is>
          <t>Foreign tax credit  (Form 1118)</t>
        </is>
      </c>
      <c r="D11" s="21" t="n"/>
      <c r="E11" s="33" t="inlineStr">
        <is>
          <t>TYPED</t>
        </is>
      </c>
      <c r="F11" s="30" t="inlineStr">
        <is>
          <t>Or deduct the foreign tax instead — for a small amount, deduct</t>
        </is>
      </c>
    </row>
    <row r="12">
      <c r="B12" s="26" t="inlineStr">
        <is>
          <t>5b</t>
        </is>
      </c>
      <c r="C12" s="27" t="inlineStr">
        <is>
          <t>Credit from Form 8834</t>
        </is>
      </c>
      <c r="D12" s="21" t="n"/>
      <c r="E12" s="33" t="inlineStr">
        <is>
          <t>TYPED</t>
        </is>
      </c>
      <c r="F12" s="30" t="inlineStr"/>
    </row>
    <row r="13">
      <c r="B13" s="26" t="inlineStr">
        <is>
          <t>5c</t>
        </is>
      </c>
      <c r="C13" s="27" t="inlineStr">
        <is>
          <t>General business credit  (Form 3800)</t>
        </is>
      </c>
      <c r="D13" s="21" t="n"/>
      <c r="E13" s="33" t="inlineStr">
        <is>
          <t>TYPED</t>
        </is>
      </c>
      <c r="F13" s="30" t="inlineStr"/>
    </row>
    <row r="14">
      <c r="B14" s="26" t="inlineStr">
        <is>
          <t>5d</t>
        </is>
      </c>
      <c r="C14" s="27" t="inlineStr">
        <is>
          <t>Credit for prior year minimum tax  (Form 8827)</t>
        </is>
      </c>
      <c r="D14" s="21" t="n"/>
      <c r="E14" s="33" t="inlineStr">
        <is>
          <t>TYPED</t>
        </is>
      </c>
      <c r="F14" s="30" t="inlineStr"/>
    </row>
    <row r="15">
      <c r="B15" s="26" t="inlineStr">
        <is>
          <t>5e</t>
        </is>
      </c>
      <c r="C15" s="27" t="inlineStr">
        <is>
          <t>Bond credits  (Form 8912)</t>
        </is>
      </c>
      <c r="D15" s="21" t="n"/>
      <c r="E15" s="33" t="inlineStr">
        <is>
          <t>TYPED</t>
        </is>
      </c>
      <c r="F15" s="30" t="inlineStr"/>
    </row>
    <row r="16">
      <c r="B16" s="26" t="inlineStr">
        <is>
          <t>6</t>
        </is>
      </c>
      <c r="C16" s="27" t="inlineStr">
        <is>
          <t>Total credits</t>
        </is>
      </c>
      <c r="D16" s="28">
        <f>SUM(D11:D15)</f>
        <v/>
      </c>
      <c r="E16" s="29" t="inlineStr">
        <is>
          <t>computed</t>
        </is>
      </c>
      <c r="F16" s="30" t="inlineStr"/>
    </row>
    <row r="17">
      <c r="B17" s="26" t="inlineStr">
        <is>
          <t>7</t>
        </is>
      </c>
      <c r="C17" s="27" t="inlineStr">
        <is>
          <t>Subtract line 6 from line 4</t>
        </is>
      </c>
      <c r="D17" s="28">
        <f>MAX(0,D10-D16)</f>
        <v/>
      </c>
      <c r="E17" s="29" t="inlineStr">
        <is>
          <t>computed</t>
        </is>
      </c>
      <c r="F17" s="30" t="inlineStr"/>
    </row>
    <row r="18">
      <c r="B18" s="26" t="inlineStr">
        <is>
          <t>8</t>
        </is>
      </c>
      <c r="C18" s="27" t="inlineStr">
        <is>
          <t>Personal holding company tax  (Schedule PH)</t>
        </is>
      </c>
      <c r="D18" s="21" t="n"/>
      <c r="E18" s="33" t="inlineStr">
        <is>
          <t>TYPED</t>
        </is>
      </c>
      <c r="F18" s="30" t="inlineStr"/>
    </row>
    <row r="19">
      <c r="B19" s="26" t="inlineStr">
        <is>
          <t>9</t>
        </is>
      </c>
      <c r="C19" s="27" t="inlineStr">
        <is>
          <t>Other taxes and recaptures</t>
        </is>
      </c>
      <c r="D19" s="21" t="n"/>
      <c r="E19" s="33" t="inlineStr">
        <is>
          <t>TYPED</t>
        </is>
      </c>
      <c r="F19" s="30" t="inlineStr">
        <is>
          <t>Recapture of investment credit, low-income housing, etc.</t>
        </is>
      </c>
    </row>
    <row r="20">
      <c r="B20" s="31" t="inlineStr">
        <is>
          <t>12</t>
        </is>
      </c>
      <c r="C20" s="32" t="inlineStr">
        <is>
          <t>TOTAL TAX  → page 1 line 31</t>
        </is>
      </c>
      <c r="D20" s="24">
        <f>D17+D18+D19</f>
        <v/>
      </c>
      <c r="E20" s="29" t="inlineStr">
        <is>
          <t>computed</t>
        </is>
      </c>
      <c r="F20" s="30" t="inlineStr">
        <is>
          <t>Verified against a filed 2024 return</t>
        </is>
      </c>
    </row>
    <row r="22" ht="19" customHeight="1">
      <c r="A22" s="11" t="inlineStr">
        <is>
          <t>PAYMENTS AND REFUNDABLE CREDITS</t>
        </is>
      </c>
    </row>
    <row r="23">
      <c r="B23" s="26" t="inlineStr">
        <is>
          <t>—</t>
        </is>
      </c>
      <c r="C23" s="27" t="inlineStr">
        <is>
          <t>Overpayment credited from last year</t>
        </is>
      </c>
      <c r="D23" s="19">
        <f>N('0-Client'!$C$29)</f>
        <v/>
      </c>
      <c r="E23" s="29" t="inlineStr">
        <is>
          <t>computed</t>
        </is>
      </c>
      <c r="F23" s="30" t="inlineStr">
        <is>
          <t>Tab 0</t>
        </is>
      </c>
    </row>
    <row r="24">
      <c r="B24" s="26" t="inlineStr">
        <is>
          <t>—</t>
        </is>
      </c>
      <c r="C24" s="27" t="inlineStr">
        <is>
          <t>Estimated tax payments made during the year</t>
        </is>
      </c>
      <c r="D24" s="19">
        <f>N('0-Client'!$C$28)</f>
        <v/>
      </c>
      <c r="E24" s="29" t="inlineStr">
        <is>
          <t>computed</t>
        </is>
      </c>
      <c r="F24" s="30" t="inlineStr">
        <is>
          <t>Tab 0</t>
        </is>
      </c>
    </row>
    <row r="25">
      <c r="B25" s="26" t="inlineStr">
        <is>
          <t>—</t>
        </is>
      </c>
      <c r="C25" s="27" t="inlineStr">
        <is>
          <t>Paid with an extension  (Form 7004)</t>
        </is>
      </c>
      <c r="D25" s="21" t="n"/>
      <c r="E25" s="33" t="inlineStr">
        <is>
          <t>TYPED</t>
        </is>
      </c>
      <c r="F25" s="30" t="inlineStr"/>
    </row>
    <row r="26">
      <c r="B26" s="26" t="inlineStr">
        <is>
          <t>—</t>
        </is>
      </c>
      <c r="C26" s="27" t="inlineStr">
        <is>
          <t>Backup withholding and other refundable credits</t>
        </is>
      </c>
      <c r="D26" s="21" t="n"/>
      <c r="E26" s="33" t="inlineStr">
        <is>
          <t>TYPED</t>
        </is>
      </c>
      <c r="F26" s="30" t="inlineStr"/>
    </row>
    <row r="27">
      <c r="B27" s="31" t="inlineStr">
        <is>
          <t>23</t>
        </is>
      </c>
      <c r="C27" s="32" t="inlineStr">
        <is>
          <t>TOTAL PAYMENTS AND CREDITS  → page 1 line 33</t>
        </is>
      </c>
      <c r="D27" s="24">
        <f>SUM(D23:D26)</f>
        <v/>
      </c>
      <c r="E27" s="29" t="inlineStr">
        <is>
          <t>computed</t>
        </is>
      </c>
      <c r="F27" s="30" t="inlineStr">
        <is>
          <t>Verified against a filed 2024 return</t>
        </is>
      </c>
    </row>
    <row r="29" ht="42" customHeight="1">
      <c r="C29" s="14" t="inlineStr">
        <is>
          <t>⚠ Only lines 2, 12 and 23 were verified against a real filed 1120. The intermediate numbering on Schedule J moves — open the current-year form before entering anything in the middle block, and correct this sheet if it has changed.</t>
        </is>
      </c>
    </row>
  </sheetData>
  <mergeCells count="5">
    <mergeCell ref="A2:F2"/>
    <mergeCell ref="A1:F1"/>
    <mergeCell ref="C29:F29"/>
    <mergeCell ref="A22:F22"/>
    <mergeCell ref="A4:F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58" customWidth="1" min="2" max="2"/>
    <col width="16" customWidth="1" min="3" max="3"/>
    <col width="60" customWidth="1" min="4" max="4"/>
  </cols>
  <sheetData>
    <row r="1" ht="30" customHeight="1">
      <c r="A1" s="1" t="inlineStr">
        <is>
          <t>7 · Schedule K — the questions</t>
        </is>
      </c>
    </row>
    <row r="2" ht="16" customHeight="1">
      <c r="A2" s="2" t="inlineStr">
        <is>
          <t>Answers change what else the return must carry. Line numbers last verified against the 2024 forms · 2026-09-09. Re-verify on irs.gov before entering anything.</t>
        </is>
      </c>
    </row>
    <row r="4" ht="19" customHeight="1">
      <c r="A4" s="11" t="inlineStr">
        <is>
          <t>THE ONES THAT CHANGE THE RETURN</t>
        </is>
      </c>
    </row>
    <row r="5">
      <c r="B5" s="23" t="inlineStr">
        <is>
          <t>Question</t>
        </is>
      </c>
      <c r="C5" s="23" t="inlineStr">
        <is>
          <t>Answer</t>
        </is>
      </c>
      <c r="D5" s="23" t="inlineStr">
        <is>
          <t>If this is the answer…</t>
        </is>
      </c>
    </row>
    <row r="6" ht="30" customHeight="1">
      <c r="B6" s="49" t="inlineStr">
        <is>
          <t>Accounting method — cash, accrual, or other</t>
        </is>
      </c>
      <c r="C6" s="16" t="n"/>
      <c r="D6" s="40" t="inlineStr">
        <is>
          <t>Must match the books AND the prior return. A change needs Form 3115</t>
        </is>
      </c>
    </row>
    <row r="7" ht="30" customHeight="1">
      <c r="B7" s="49" t="inlineStr">
        <is>
          <t>Business activity code number</t>
        </is>
      </c>
      <c r="C7" s="16" t="n"/>
      <c r="D7" s="40" t="inlineStr">
        <is>
          <t>Six digits, from the Form 1120 instructions. Must match what the company actually does</t>
        </is>
      </c>
    </row>
    <row r="8" ht="30" customHeight="1">
      <c r="B8" s="49" t="inlineStr">
        <is>
          <t>Business activity / product or service</t>
        </is>
      </c>
      <c r="C8" s="16" t="n"/>
      <c r="D8" s="40" t="inlineStr">
        <is>
          <t>Plain words, in ENGLISH, exactly as it should print</t>
        </is>
      </c>
    </row>
    <row r="9" ht="42" customHeight="1">
      <c r="B9" s="49" t="inlineStr">
        <is>
          <t>Is the corporation a subsidiary in an affiliated group or a parent-subsidiary controlled group?</t>
        </is>
      </c>
      <c r="C9" s="16" t="n"/>
      <c r="D9" s="40" t="inlineStr">
        <is>
          <t>Yes → name the parent and its EIN</t>
        </is>
      </c>
    </row>
    <row r="10" ht="30" customHeight="1">
      <c r="B10" s="49" t="inlineStr">
        <is>
          <t>Did any individual or estate own 20% or more of the voting stock, directly or indirectly?</t>
        </is>
      </c>
      <c r="C10" s="16" t="n"/>
      <c r="D10" s="40" t="inlineStr">
        <is>
          <t>Yes → Schedule G (Form 1120) is required</t>
        </is>
      </c>
    </row>
    <row r="11" ht="30" customHeight="1">
      <c r="B11" s="49" t="inlineStr">
        <is>
          <t>Did any entity own 20% or more of the voting stock?</t>
        </is>
      </c>
      <c r="C11" s="16" t="n"/>
      <c r="D11" s="40" t="inlineStr">
        <is>
          <t>Yes → Schedule G</t>
        </is>
      </c>
    </row>
    <row r="12" ht="30" customHeight="1">
      <c r="B12" s="49" t="inlineStr">
        <is>
          <t>Did the corporation own 20% or more of any foreign or domestic corporation?</t>
        </is>
      </c>
      <c r="C12" s="16" t="n"/>
      <c r="D12" s="40" t="inlineStr">
        <is>
          <t>Yes → the ownership schedule</t>
        </is>
      </c>
    </row>
    <row r="13" ht="42" customHeight="1">
      <c r="B13" s="49" t="inlineStr">
        <is>
          <t>At any time during the year, did the corporation have an interest in or authority over a FOREIGN financial account?</t>
        </is>
      </c>
      <c r="C13" s="16" t="n"/>
      <c r="D13" s="40" t="inlineStr">
        <is>
          <t>Yes → FinCEN Form 114 (FBAR) is due separately, and it is NOT part of the return</t>
        </is>
      </c>
    </row>
    <row r="14" ht="30" customHeight="1">
      <c r="B14" s="49" t="inlineStr">
        <is>
          <t>Was the corporation the grantor of, or transferor to, a foreign trust?</t>
        </is>
      </c>
      <c r="C14" s="16" t="n"/>
      <c r="D14" s="40" t="inlineStr">
        <is>
          <t>Yes → Form 3520</t>
        </is>
      </c>
    </row>
    <row r="15" ht="30" customHeight="1">
      <c r="B15" s="49" t="inlineStr">
        <is>
          <t>Did the corporation receive a distribution from, or was it the owner of, a foreign entity?</t>
        </is>
      </c>
      <c r="C15" s="16" t="n"/>
      <c r="D15" s="40" t="inlineStr">
        <is>
          <t>Yes → Form 5471 / 8865 / 8858 as applicable</t>
        </is>
      </c>
    </row>
    <row r="16" ht="30" customHeight="1">
      <c r="B16" s="49" t="inlineStr">
        <is>
          <t>Total receipts AND total assets both under $250,000?</t>
        </is>
      </c>
      <c r="C16" s="16" t="n"/>
      <c r="D16" s="40" t="inlineStr">
        <is>
          <t>Yes → Schedules L, M-1 and M-2 are not required (tab 0 computes this)</t>
        </is>
      </c>
    </row>
    <row r="17" ht="30" customHeight="1">
      <c r="B17" s="49" t="inlineStr">
        <is>
          <t>Did the corporation make any payments requiring Form 1099?</t>
        </is>
      </c>
      <c r="C17" s="16" t="n"/>
      <c r="D17" s="40" t="inlineStr">
        <is>
          <t>Yes → and were they filed? Both boxes get answered</t>
        </is>
      </c>
    </row>
    <row r="18" ht="30" customHeight="1">
      <c r="B18" s="49" t="inlineStr">
        <is>
          <t>Did the corporation have an NOL and is it forgoing the carryback?</t>
        </is>
      </c>
      <c r="C18" s="16" t="n"/>
      <c r="D18" s="40" t="inlineStr">
        <is>
          <t>An election, and it has to be attached</t>
        </is>
      </c>
    </row>
    <row r="19" ht="30" customHeight="1">
      <c r="B19" s="49" t="inlineStr">
        <is>
          <t>Is the corporation a shareholder in a PFIC?</t>
        </is>
      </c>
      <c r="C19" s="16" t="n"/>
      <c r="D19" s="40" t="inlineStr">
        <is>
          <t>Yes → Form 8621</t>
        </is>
      </c>
    </row>
    <row r="20" ht="30" customHeight="1">
      <c r="B20" s="49" t="inlineStr">
        <is>
          <t>Did the corporation dispose of an interest in a qualified opportunity fund?</t>
        </is>
      </c>
      <c r="C20" s="16" t="n"/>
      <c r="D20" s="40" t="inlineStr">
        <is>
          <t>Yes → Form 8949 and the Schedule D question</t>
        </is>
      </c>
    </row>
    <row r="22" ht="28" customHeight="1">
      <c r="B22" s="14" t="inlineStr">
        <is>
          <t>This is a working checklist of the questions that change what else the return carries — not the whole of Schedule K. Answer every question on the form itself.</t>
        </is>
      </c>
    </row>
  </sheetData>
  <mergeCells count="4">
    <mergeCell ref="A1:D1"/>
    <mergeCell ref="A4:D4"/>
    <mergeCell ref="B22:D22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8" customWidth="1" min="2" max="2"/>
    <col width="48" customWidth="1" min="3" max="3"/>
    <col width="20" customWidth="1" min="4" max="4"/>
    <col width="20" customWidth="1" min="5" max="5"/>
    <col width="54" customWidth="1" min="6" max="6"/>
  </cols>
  <sheetData>
    <row r="1" ht="30" customHeight="1">
      <c r="A1" s="1" t="inlineStr">
        <is>
          <t>8 · Schedule L — balance sheet per books</t>
        </is>
      </c>
    </row>
    <row r="2" ht="16" customHeight="1">
      <c r="A2" s="2" t="inlineStr">
        <is>
          <t>🔑 The BEGINNING column is copied from last year's FILED return — never recalculated. Line numbers last verified against the 2024 forms · 2026-09-09. Re-verify on irs.gov before entering anything.</t>
        </is>
      </c>
    </row>
    <row r="4" ht="19" customHeight="1">
      <c r="A4" s="11" t="inlineStr">
        <is>
          <t>ASSETS</t>
        </is>
      </c>
    </row>
    <row r="5">
      <c r="B5" s="23" t="inlineStr">
        <is>
          <t>Line</t>
        </is>
      </c>
      <c r="C5" s="23" t="inlineStr">
        <is>
          <t>Concept</t>
        </is>
      </c>
      <c r="D5" s="23" t="inlineStr">
        <is>
          <t>Beginning of year</t>
        </is>
      </c>
      <c r="E5" s="23" t="inlineStr">
        <is>
          <t>End of year</t>
        </is>
      </c>
      <c r="F5" s="23" t="inlineStr">
        <is>
          <t>Note</t>
        </is>
      </c>
    </row>
    <row r="6" ht="30" customHeight="1">
      <c r="B6" s="26" t="inlineStr">
        <is>
          <t>1</t>
        </is>
      </c>
      <c r="C6" s="27" t="inlineStr">
        <is>
          <t>Cash</t>
        </is>
      </c>
      <c r="D6" s="21" t="n"/>
      <c r="E6" s="21" t="n"/>
      <c r="F6" s="40" t="inlineStr">
        <is>
          <t>⚠ CASH ONLY. A brokerage portfolio typed as a Bank account in QuickBooks lands here by default — it belongs on line 9</t>
        </is>
      </c>
    </row>
    <row r="7">
      <c r="B7" s="26" t="inlineStr">
        <is>
          <t>2a</t>
        </is>
      </c>
      <c r="C7" s="27" t="inlineStr">
        <is>
          <t>Trade notes and accounts receivable</t>
        </is>
      </c>
      <c r="D7" s="21" t="n"/>
      <c r="E7" s="21" t="n"/>
      <c r="F7" s="40" t="inlineStr"/>
    </row>
    <row r="8">
      <c r="B8" s="26" t="inlineStr">
        <is>
          <t>2b</t>
        </is>
      </c>
      <c r="C8" s="27" t="inlineStr">
        <is>
          <t>Less allowance for bad debts</t>
        </is>
      </c>
      <c r="D8" s="21" t="n"/>
      <c r="E8" s="21" t="n"/>
      <c r="F8" s="40" t="inlineStr">
        <is>
          <t>Enter POSITIVE; it is subtracted below</t>
        </is>
      </c>
    </row>
    <row r="9">
      <c r="B9" s="26" t="inlineStr">
        <is>
          <t>3</t>
        </is>
      </c>
      <c r="C9" s="27" t="inlineStr">
        <is>
          <t>Inventories</t>
        </is>
      </c>
      <c r="D9" s="21" t="n"/>
      <c r="E9" s="21" t="n"/>
      <c r="F9" s="40" t="inlineStr"/>
    </row>
    <row r="10">
      <c r="B10" s="26" t="inlineStr">
        <is>
          <t>4</t>
        </is>
      </c>
      <c r="C10" s="27" t="inlineStr">
        <is>
          <t>U.S. government obligations</t>
        </is>
      </c>
      <c r="D10" s="21" t="n"/>
      <c r="E10" s="21" t="n"/>
      <c r="F10" s="40" t="inlineStr"/>
    </row>
    <row r="11">
      <c r="B11" s="26" t="inlineStr">
        <is>
          <t>5</t>
        </is>
      </c>
      <c r="C11" s="27" t="inlineStr">
        <is>
          <t>Tax-exempt securities</t>
        </is>
      </c>
      <c r="D11" s="21" t="n"/>
      <c r="E11" s="21" t="n"/>
      <c r="F11" s="40" t="inlineStr"/>
    </row>
    <row r="12">
      <c r="B12" s="26" t="inlineStr">
        <is>
          <t>6</t>
        </is>
      </c>
      <c r="C12" s="27" t="inlineStr">
        <is>
          <t>Other current assets  (attach statement)</t>
        </is>
      </c>
      <c r="D12" s="21" t="n"/>
      <c r="E12" s="21" t="n"/>
      <c r="F12" s="40" t="inlineStr"/>
    </row>
    <row r="13">
      <c r="B13" s="26" t="inlineStr">
        <is>
          <t>7</t>
        </is>
      </c>
      <c r="C13" s="27" t="inlineStr">
        <is>
          <t>Loans to shareholders</t>
        </is>
      </c>
      <c r="D13" s="21" t="n"/>
      <c r="E13" s="21" t="n"/>
      <c r="F13" s="40" t="inlineStr">
        <is>
          <t>A real balance here invites a below-market-interest question (§7872)</t>
        </is>
      </c>
    </row>
    <row r="14">
      <c r="B14" s="26" t="inlineStr">
        <is>
          <t>8</t>
        </is>
      </c>
      <c r="C14" s="27" t="inlineStr">
        <is>
          <t>Mortgage and real estate loans</t>
        </is>
      </c>
      <c r="D14" s="21" t="n"/>
      <c r="E14" s="21" t="n"/>
      <c r="F14" s="40" t="inlineStr"/>
    </row>
    <row r="15" ht="30" customHeight="1">
      <c r="B15" s="26" t="inlineStr">
        <is>
          <t>9</t>
        </is>
      </c>
      <c r="C15" s="27" t="inlineStr">
        <is>
          <t>Other investments  (attach statement)</t>
        </is>
      </c>
      <c r="D15" s="21" t="n"/>
      <c r="E15" s="21" t="n"/>
      <c r="F15" s="40" t="inlineStr">
        <is>
          <t>🔴 THE BROKERAGE PORTFOLIO BELONGS HERE. Tab 5's ending value. No tax effect — but showing seven figures of equities as Cash misstates the balance sheet a lender reads</t>
        </is>
      </c>
    </row>
    <row r="16">
      <c r="B16" s="26" t="inlineStr">
        <is>
          <t>10a</t>
        </is>
      </c>
      <c r="C16" s="27" t="inlineStr">
        <is>
          <t>Buildings and other depreciable assets</t>
        </is>
      </c>
      <c r="D16" s="21" t="n"/>
      <c r="E16" s="21" t="n"/>
      <c r="F16" s="40" t="inlineStr"/>
    </row>
    <row r="17">
      <c r="B17" s="26" t="inlineStr">
        <is>
          <t>10b</t>
        </is>
      </c>
      <c r="C17" s="27" t="inlineStr">
        <is>
          <t>Less accumulated depreciation</t>
        </is>
      </c>
      <c r="D17" s="21" t="n"/>
      <c r="E17" s="21" t="n"/>
      <c r="F17" s="40" t="inlineStr">
        <is>
          <t>Enter POSITIVE</t>
        </is>
      </c>
    </row>
    <row r="18">
      <c r="B18" s="26" t="inlineStr">
        <is>
          <t>11a</t>
        </is>
      </c>
      <c r="C18" s="27" t="inlineStr">
        <is>
          <t>Depletable assets</t>
        </is>
      </c>
      <c r="D18" s="21" t="n"/>
      <c r="E18" s="21" t="n"/>
      <c r="F18" s="40" t="inlineStr"/>
    </row>
    <row r="19">
      <c r="B19" s="26" t="inlineStr">
        <is>
          <t>11b</t>
        </is>
      </c>
      <c r="C19" s="27" t="inlineStr">
        <is>
          <t>Less accumulated depletion</t>
        </is>
      </c>
      <c r="D19" s="21" t="n"/>
      <c r="E19" s="21" t="n"/>
      <c r="F19" s="40" t="inlineStr">
        <is>
          <t>Enter POSITIVE</t>
        </is>
      </c>
    </row>
    <row r="20">
      <c r="B20" s="26" t="inlineStr">
        <is>
          <t>12</t>
        </is>
      </c>
      <c r="C20" s="27" t="inlineStr">
        <is>
          <t>Land</t>
        </is>
      </c>
      <c r="D20" s="21" t="n"/>
      <c r="E20" s="21" t="n"/>
      <c r="F20" s="40" t="inlineStr"/>
    </row>
    <row r="21">
      <c r="B21" s="26" t="inlineStr">
        <is>
          <t>13a</t>
        </is>
      </c>
      <c r="C21" s="27" t="inlineStr">
        <is>
          <t>Intangible assets (amortizable only)</t>
        </is>
      </c>
      <c r="D21" s="21" t="n"/>
      <c r="E21" s="21" t="n"/>
      <c r="F21" s="40" t="inlineStr"/>
    </row>
    <row r="22">
      <c r="B22" s="26" t="inlineStr">
        <is>
          <t>13b</t>
        </is>
      </c>
      <c r="C22" s="27" t="inlineStr">
        <is>
          <t>Less accumulated amortization</t>
        </is>
      </c>
      <c r="D22" s="21" t="n"/>
      <c r="E22" s="21" t="n"/>
      <c r="F22" s="40" t="inlineStr">
        <is>
          <t>Enter POSITIVE</t>
        </is>
      </c>
    </row>
    <row r="23">
      <c r="B23" s="26" t="inlineStr">
        <is>
          <t>14</t>
        </is>
      </c>
      <c r="C23" s="27" t="inlineStr">
        <is>
          <t>Other assets  (attach statement)</t>
        </is>
      </c>
      <c r="D23" s="21" t="n"/>
      <c r="E23" s="21" t="n"/>
      <c r="F23" s="40" t="inlineStr"/>
    </row>
    <row r="24">
      <c r="B24" s="31" t="inlineStr">
        <is>
          <t>15</t>
        </is>
      </c>
      <c r="C24" s="32" t="inlineStr">
        <is>
          <t>TOTAL ASSETS</t>
        </is>
      </c>
      <c r="D24" s="24">
        <f>SUM(D6:D7)-N(D8)+SUM(D9:D16)-N(D17)+D18-N(D19)+D20+D21-N(D22)+D23</f>
        <v/>
      </c>
      <c r="E24" s="24">
        <f>SUM(E6:E7)-N(E8)+SUM(E9:E16)-N(E17)+E18-N(E19)+E20+E21-N(E22)+E23</f>
        <v/>
      </c>
      <c r="F24" s="40" t="inlineStr"/>
    </row>
    <row r="26" ht="19" customHeight="1">
      <c r="A26" s="11" t="inlineStr">
        <is>
          <t>LIABILITIES AND SHAREHOLDERS' EQUITY</t>
        </is>
      </c>
    </row>
    <row r="27">
      <c r="B27" s="23" t="inlineStr">
        <is>
          <t>Line</t>
        </is>
      </c>
      <c r="C27" s="23" t="inlineStr">
        <is>
          <t>Concept</t>
        </is>
      </c>
      <c r="D27" s="23" t="inlineStr">
        <is>
          <t>Beginning of year</t>
        </is>
      </c>
      <c r="E27" s="23" t="inlineStr">
        <is>
          <t>End of year</t>
        </is>
      </c>
      <c r="F27" s="23" t="inlineStr">
        <is>
          <t>Note</t>
        </is>
      </c>
    </row>
    <row r="28">
      <c r="B28" s="26" t="inlineStr">
        <is>
          <t>16</t>
        </is>
      </c>
      <c r="C28" s="27" t="inlineStr">
        <is>
          <t>Accounts payable</t>
        </is>
      </c>
      <c r="D28" s="21" t="n"/>
      <c r="E28" s="21" t="n"/>
      <c r="F28" s="40" t="inlineStr"/>
    </row>
    <row r="29">
      <c r="B29" s="26" t="inlineStr">
        <is>
          <t>17</t>
        </is>
      </c>
      <c r="C29" s="27" t="inlineStr">
        <is>
          <t>Mortgages, notes, bonds payable in less than 1 year</t>
        </is>
      </c>
      <c r="D29" s="21" t="n"/>
      <c r="E29" s="21" t="n"/>
      <c r="F29" s="40" t="inlineStr"/>
    </row>
    <row r="30">
      <c r="B30" s="26" t="inlineStr">
        <is>
          <t>18</t>
        </is>
      </c>
      <c r="C30" s="27" t="inlineStr">
        <is>
          <t>Other current liabilities  (attach statement)</t>
        </is>
      </c>
      <c r="D30" s="21" t="n"/>
      <c r="E30" s="21" t="n"/>
      <c r="F30" s="40" t="inlineStr"/>
    </row>
    <row r="31">
      <c r="B31" s="26" t="inlineStr">
        <is>
          <t>19</t>
        </is>
      </c>
      <c r="C31" s="27" t="inlineStr">
        <is>
          <t>Loans from shareholders</t>
        </is>
      </c>
      <c r="D31" s="21" t="n"/>
      <c r="E31" s="21" t="n"/>
      <c r="F31" s="40" t="inlineStr"/>
    </row>
    <row r="32">
      <c r="B32" s="26" t="inlineStr">
        <is>
          <t>20</t>
        </is>
      </c>
      <c r="C32" s="27" t="inlineStr">
        <is>
          <t>Mortgages, notes, bonds payable in 1 year or more</t>
        </is>
      </c>
      <c r="D32" s="21" t="n"/>
      <c r="E32" s="21" t="n"/>
      <c r="F32" s="40" t="inlineStr"/>
    </row>
    <row r="33">
      <c r="B33" s="26" t="inlineStr">
        <is>
          <t>21</t>
        </is>
      </c>
      <c r="C33" s="27" t="inlineStr">
        <is>
          <t>Other liabilities  (attach statement)</t>
        </is>
      </c>
      <c r="D33" s="21" t="n"/>
      <c r="E33" s="21" t="n"/>
      <c r="F33" s="40" t="inlineStr"/>
    </row>
    <row r="34">
      <c r="B34" s="26" t="inlineStr">
        <is>
          <t>22a</t>
        </is>
      </c>
      <c r="C34" s="27" t="inlineStr">
        <is>
          <t>Capital stock — preferred</t>
        </is>
      </c>
      <c r="D34" s="21" t="n"/>
      <c r="E34" s="21" t="n"/>
      <c r="F34" s="40" t="inlineStr"/>
    </row>
    <row r="35">
      <c r="B35" s="26" t="inlineStr">
        <is>
          <t>22b</t>
        </is>
      </c>
      <c r="C35" s="27" t="inlineStr">
        <is>
          <t>Capital stock — common</t>
        </is>
      </c>
      <c r="D35" s="21" t="n"/>
      <c r="E35" s="21" t="n"/>
      <c r="F35" s="40" t="inlineStr"/>
    </row>
    <row r="36">
      <c r="B36" s="26" t="inlineStr">
        <is>
          <t>23</t>
        </is>
      </c>
      <c r="C36" s="27" t="inlineStr">
        <is>
          <t>Additional paid-in capital</t>
        </is>
      </c>
      <c r="D36" s="21" t="n"/>
      <c r="E36" s="21" t="n"/>
      <c r="F36" s="40" t="inlineStr"/>
    </row>
    <row r="37">
      <c r="B37" s="26" t="inlineStr">
        <is>
          <t>24</t>
        </is>
      </c>
      <c r="C37" s="27" t="inlineStr">
        <is>
          <t>Retained earnings — appropriated</t>
        </is>
      </c>
      <c r="D37" s="21" t="n"/>
      <c r="E37" s="21" t="n"/>
      <c r="F37" s="40" t="inlineStr"/>
    </row>
    <row r="38" ht="44" customHeight="1">
      <c r="B38" s="31" t="inlineStr">
        <is>
          <t>25</t>
        </is>
      </c>
      <c r="C38" s="32" t="inlineStr">
        <is>
          <t>Retained earnings — unappropriated</t>
        </is>
      </c>
      <c r="D38" s="19">
        <f>N('0-Client'!$C$26)</f>
        <v/>
      </c>
      <c r="E38" s="34">
        <f>'10-SchM2'!$D$14</f>
        <v/>
      </c>
      <c r="F38" s="40" t="inlineStr">
        <is>
          <t>Beginning = last year's FILED return (tab 0).  Ending = Schedule M-2 line 8 (tab 10). Where the filed return and QuickBooks disagree, the RETURN governs — and the difference is written into the working paper so nobody re-derives it next year.</t>
        </is>
      </c>
    </row>
    <row r="39">
      <c r="B39" s="26" t="inlineStr">
        <is>
          <t>26</t>
        </is>
      </c>
      <c r="C39" s="27" t="inlineStr">
        <is>
          <t>Adjustments to shareholders' equity</t>
        </is>
      </c>
      <c r="D39" s="21" t="n"/>
      <c r="E39" s="21" t="n"/>
      <c r="F39" s="40" t="inlineStr"/>
    </row>
    <row r="40">
      <c r="B40" s="26" t="inlineStr">
        <is>
          <t>27</t>
        </is>
      </c>
      <c r="C40" s="27" t="inlineStr">
        <is>
          <t>Less cost of treasury stock</t>
        </is>
      </c>
      <c r="D40" s="21" t="n"/>
      <c r="E40" s="21" t="n"/>
      <c r="F40" s="40" t="inlineStr">
        <is>
          <t>Enter POSITIVE</t>
        </is>
      </c>
    </row>
    <row r="41">
      <c r="B41" s="31" t="inlineStr">
        <is>
          <t>28</t>
        </is>
      </c>
      <c r="C41" s="32" t="inlineStr">
        <is>
          <t>TOTAL LIABILITIES AND EQUITY</t>
        </is>
      </c>
      <c r="D41" s="24">
        <f>SUM(D28:D39)-N(D40)</f>
        <v/>
      </c>
      <c r="E41" s="24">
        <f>SUM(E28:E39)-N(E40)</f>
        <v/>
      </c>
      <c r="F41" s="40" t="inlineStr"/>
    </row>
    <row r="43" ht="28" customHeight="1">
      <c r="C43" s="32" t="inlineStr">
        <is>
          <t>Does the balance sheet BALANCE?</t>
        </is>
      </c>
      <c r="D43" s="31">
        <f>IF(AND(N(D24)=0,N(D41)=0),"—",IF(ABS(N(D24)-N(D41))&lt;0.005,"PASS","CHECK"))</f>
        <v/>
      </c>
      <c r="E43" s="31">
        <f>IF(AND(N(E24)=0,N(E41)=0),"—",IF(ABS(N(E24)-N(E41))&lt;0.005,"PASS","CHECK"))</f>
        <v/>
      </c>
      <c r="F43" s="41" t="inlineStr">
        <is>
          <t>Both columns. A beginning column that does not balance means it was not copied from the filed return.</t>
        </is>
      </c>
    </row>
    <row r="44">
      <c r="C44" s="27" t="inlineStr">
        <is>
          <t>Beginning total assets vs last year's FILED return  (tab 0)</t>
        </is>
      </c>
      <c r="D44" s="19">
        <f>N('0-Client'!$C$27)</f>
        <v/>
      </c>
      <c r="E44" s="31">
        <f>IF(AND(N(D24)=0,N(D44)=0),"—",IF(ABS(N(D24)-N(D44))&lt;0.005,"PASS","CHECK"))</f>
        <v/>
      </c>
    </row>
  </sheetData>
  <mergeCells count="4">
    <mergeCell ref="A26:F26"/>
    <mergeCell ref="A2:F2"/>
    <mergeCell ref="A1:F1"/>
    <mergeCell ref="A4:F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8" customWidth="1" min="2" max="2"/>
    <col width="52" customWidth="1" min="3" max="3"/>
    <col width="20" customWidth="1" min="4" max="4"/>
    <col width="13" customWidth="1" min="5" max="5"/>
    <col width="56" customWidth="1" min="6" max="6"/>
  </cols>
  <sheetData>
    <row r="1" ht="30" customHeight="1">
      <c r="A1" s="1" t="inlineStr">
        <is>
          <t>9 · Schedule M-1 — book income to taxable income</t>
        </is>
      </c>
    </row>
    <row r="2" ht="16" customHeight="1">
      <c r="A2" s="2" t="inlineStr">
        <is>
          <t>🛑 The unrealized figure's LINE depends on its SIGN, and the sign flips between years. This tab decides it for you.</t>
        </is>
      </c>
    </row>
    <row r="4" ht="19" customHeight="1">
      <c r="A4" s="11" t="inlineStr">
        <is>
          <t>THE SIGN TRAP — enter ONE signed figure and let the sheet place it</t>
        </is>
      </c>
    </row>
    <row r="5" ht="42" customHeight="1">
      <c r="C5" s="14" t="inlineStr">
        <is>
          <t>A book unrealized LOSS belongs on line 5; a book unrealized GAIN on line 7. A preparer copying last year's placement produces a return that balances internally and is wrong. Enter the figure once, signed, and do not place it by hand.</t>
        </is>
      </c>
    </row>
    <row r="6">
      <c r="C6" s="32" t="inlineStr">
        <is>
          <t>Unrealized gain / (loss) for the year  (tab 5)</t>
        </is>
      </c>
      <c r="D6" s="34">
        <f>'5-Investments'!$E$29</f>
        <v/>
      </c>
      <c r="F6" s="30" t="inlineStr">
        <is>
          <t>A GAIN is positive, a LOSS negative. Tab 5 signs it correctly.</t>
        </is>
      </c>
    </row>
    <row r="7">
      <c r="C7" s="43" t="inlineStr">
        <is>
          <t>→ it belongs on</t>
        </is>
      </c>
      <c r="D7" s="38">
        <f>IF(N(D6)=0,"neither — no unrealized movement",IF(N(D6)&gt;0,"LINE 7 — income on books not on the return","LINE 5 — expenses on books not deducted"))</f>
        <v/>
      </c>
      <c r="E7" s="35" t="n"/>
      <c r="F7" s="36" t="n"/>
    </row>
    <row r="9" ht="19" customHeight="1">
      <c r="A9" s="11" t="inlineStr">
        <is>
          <t>SCHEDULE M-1</t>
        </is>
      </c>
    </row>
    <row r="10">
      <c r="B10" s="23" t="inlineStr">
        <is>
          <t>Line</t>
        </is>
      </c>
      <c r="C10" s="23" t="inlineStr">
        <is>
          <t>Concept</t>
        </is>
      </c>
      <c r="D10" s="23" t="inlineStr">
        <is>
          <t>Amount</t>
        </is>
      </c>
      <c r="E10" s="23" t="inlineStr">
        <is>
          <t>Typed?</t>
        </is>
      </c>
      <c r="F10" s="23" t="inlineStr">
        <is>
          <t>Note</t>
        </is>
      </c>
    </row>
    <row r="11">
      <c r="B11" s="26" t="inlineStr">
        <is>
          <t>1</t>
        </is>
      </c>
      <c r="C11" s="27" t="inlineStr">
        <is>
          <t>Net income (loss) per books</t>
        </is>
      </c>
      <c r="D11" s="21" t="n"/>
      <c r="E11" s="33" t="inlineStr">
        <is>
          <t>TYPED</t>
        </is>
      </c>
      <c r="F11" s="40" t="inlineStr">
        <is>
          <t>AFTER federal income tax. The whole company's book net income, not just the investment part</t>
        </is>
      </c>
    </row>
    <row r="12">
      <c r="B12" s="26" t="inlineStr">
        <is>
          <t>2</t>
        </is>
      </c>
      <c r="C12" s="27" t="inlineStr">
        <is>
          <t>Federal income tax per books</t>
        </is>
      </c>
      <c r="D12" s="28">
        <f>SUMIF('1-TrialBalance'!$D$39:$D$118,"FED_TAX",'1-TrialBalance'!$C$39:$C$118)</f>
        <v/>
      </c>
      <c r="E12" s="29" t="inlineStr">
        <is>
          <t>computed</t>
        </is>
      </c>
      <c r="F12" s="40" t="inlineStr">
        <is>
          <t>Trial balance · FED_TAX</t>
        </is>
      </c>
    </row>
    <row r="13">
      <c r="B13" s="26" t="inlineStr">
        <is>
          <t>3</t>
        </is>
      </c>
      <c r="C13" s="27" t="inlineStr">
        <is>
          <t>Excess of capital losses over capital gains</t>
        </is>
      </c>
      <c r="D13" s="19">
        <f>'4-SchD'!$G$42</f>
        <v/>
      </c>
      <c r="E13" s="29" t="inlineStr">
        <is>
          <t>computed</t>
        </is>
      </c>
      <c r="F13" s="40" t="inlineStr">
        <is>
          <t>Tab 4 — the non-deductible capital loss, added back</t>
        </is>
      </c>
    </row>
    <row r="14">
      <c r="B14" s="26" t="inlineStr">
        <is>
          <t>4</t>
        </is>
      </c>
      <c r="C14" s="27" t="inlineStr">
        <is>
          <t>Income subject to tax not recorded on books</t>
        </is>
      </c>
      <c r="D14" s="21" t="n"/>
      <c r="E14" s="33" t="inlineStr">
        <is>
          <t>TYPED</t>
        </is>
      </c>
      <c r="F14" s="40" t="inlineStr">
        <is>
          <t>Rare</t>
        </is>
      </c>
    </row>
    <row r="15">
      <c r="B15" s="31" t="inlineStr">
        <is>
          <t>5</t>
        </is>
      </c>
      <c r="C15" s="32" t="inlineStr">
        <is>
          <t>Expenses on books not deducted on this return:</t>
        </is>
      </c>
      <c r="D15" s="27" t="inlineStr"/>
      <c r="E15" s="27" t="inlineStr"/>
      <c r="F15" s="27" t="inlineStr"/>
    </row>
    <row r="16">
      <c r="B16" s="26" t="inlineStr">
        <is>
          <t>5a</t>
        </is>
      </c>
      <c r="C16" s="27" t="inlineStr">
        <is>
          <t xml:space="preserve">   Depreciation</t>
        </is>
      </c>
      <c r="D16" s="21" t="n"/>
      <c r="E16" s="33" t="inlineStr">
        <is>
          <t>TYPED</t>
        </is>
      </c>
      <c r="F16" s="40" t="inlineStr"/>
    </row>
    <row r="17">
      <c r="B17" s="26" t="inlineStr">
        <is>
          <t>5b</t>
        </is>
      </c>
      <c r="C17" s="27" t="inlineStr">
        <is>
          <t xml:space="preserve">   Charitable contributions over the 10% limit</t>
        </is>
      </c>
      <c r="D17" s="19">
        <f>'2-Page1'!$D$56</f>
        <v/>
      </c>
      <c r="E17" s="29" t="inlineStr">
        <is>
          <t>computed</t>
        </is>
      </c>
      <c r="F17" s="40" t="inlineStr">
        <is>
          <t>Tab 2 — the limit block</t>
        </is>
      </c>
    </row>
    <row r="18">
      <c r="B18" s="26" t="inlineStr">
        <is>
          <t>5c</t>
        </is>
      </c>
      <c r="C18" s="27" t="inlineStr">
        <is>
          <t xml:space="preserve">   Travel and entertainment — the non-deductible half</t>
        </is>
      </c>
      <c r="D18" s="21" t="n"/>
      <c r="E18" s="33" t="inlineStr">
        <is>
          <t>TYPED</t>
        </is>
      </c>
      <c r="F18" s="40" t="inlineStr">
        <is>
          <t>Meals are 50% disallowed; entertainment entirely</t>
        </is>
      </c>
    </row>
    <row r="19">
      <c r="B19" s="26" t="inlineStr">
        <is>
          <t>5d</t>
        </is>
      </c>
      <c r="C19" s="27" t="inlineStr">
        <is>
          <t xml:space="preserve">   UNREALIZED LOSS on investments</t>
        </is>
      </c>
      <c r="D19" s="28">
        <f>IF(N(D6)&lt;0,-N(D6),0)</f>
        <v/>
      </c>
      <c r="E19" s="29" t="inlineStr">
        <is>
          <t>computed</t>
        </is>
      </c>
      <c r="F19" s="40" t="inlineStr">
        <is>
          <t>🛑 Populates ONLY when the year's unrealized movement is a LOSS</t>
        </is>
      </c>
    </row>
    <row r="20">
      <c r="B20" s="26" t="inlineStr">
        <is>
          <t>5e</t>
        </is>
      </c>
      <c r="C20" s="27" t="inlineStr">
        <is>
          <t xml:space="preserve">   Other — itemize</t>
        </is>
      </c>
      <c r="D20" s="21" t="n"/>
      <c r="E20" s="33" t="inlineStr">
        <is>
          <t>TYPED</t>
        </is>
      </c>
      <c r="F20" s="40" t="inlineStr"/>
    </row>
    <row r="21">
      <c r="B21" s="31" t="inlineStr">
        <is>
          <t>5</t>
        </is>
      </c>
      <c r="C21" s="32" t="inlineStr">
        <is>
          <t>Total of line 5</t>
        </is>
      </c>
      <c r="D21" s="24">
        <f>SUM(D16:D20)</f>
        <v/>
      </c>
      <c r="E21" s="27" t="inlineStr"/>
      <c r="F21" s="27" t="inlineStr"/>
    </row>
    <row r="22">
      <c r="B22" s="31" t="inlineStr">
        <is>
          <t>6</t>
        </is>
      </c>
      <c r="C22" s="32" t="inlineStr">
        <is>
          <t>Add lines 1 through 5</t>
        </is>
      </c>
      <c r="D22" s="24">
        <f>SUM(D11:D14)+D21</f>
        <v/>
      </c>
      <c r="E22" s="27" t="inlineStr"/>
      <c r="F22" s="27" t="inlineStr"/>
    </row>
    <row r="23">
      <c r="B23" s="31" t="inlineStr">
        <is>
          <t>7</t>
        </is>
      </c>
      <c r="C23" s="32" t="inlineStr">
        <is>
          <t>Income on books not included on this return:</t>
        </is>
      </c>
      <c r="D23" s="27" t="inlineStr"/>
      <c r="E23" s="27" t="inlineStr"/>
      <c r="F23" s="27" t="inlineStr"/>
    </row>
    <row r="24">
      <c r="B24" s="26" t="inlineStr">
        <is>
          <t>7a</t>
        </is>
      </c>
      <c r="C24" s="27" t="inlineStr">
        <is>
          <t xml:space="preserve">   Tax-exempt interest</t>
        </is>
      </c>
      <c r="D24" s="21" t="n"/>
      <c r="E24" s="33" t="inlineStr">
        <is>
          <t>TYPED</t>
        </is>
      </c>
      <c r="F24" s="40" t="inlineStr"/>
    </row>
    <row r="25">
      <c r="B25" s="26" t="inlineStr">
        <is>
          <t>7b</t>
        </is>
      </c>
      <c r="C25" s="27" t="inlineStr">
        <is>
          <t xml:space="preserve">   UNREALIZED GAIN on investments</t>
        </is>
      </c>
      <c r="D25" s="28">
        <f>IF(N(D6)&gt;0,N(D6),0)</f>
        <v/>
      </c>
      <c r="E25" s="29" t="inlineStr">
        <is>
          <t>computed</t>
        </is>
      </c>
      <c r="F25" s="40" t="inlineStr">
        <is>
          <t>🛑 Populates ONLY when the year's unrealized movement is a GAIN</t>
        </is>
      </c>
    </row>
    <row r="26" ht="30" customHeight="1">
      <c r="B26" s="26" t="inlineStr">
        <is>
          <t>7c</t>
        </is>
      </c>
      <c r="C26" s="27" t="inlineStr">
        <is>
          <t xml:space="preserve">   Dividend income on books not on this return</t>
        </is>
      </c>
      <c r="D26" s="19">
        <f>N('5-Investments'!$E$53)</f>
        <v/>
      </c>
      <c r="E26" s="29" t="inlineStr">
        <is>
          <t>computed</t>
        </is>
      </c>
      <c r="F26" s="40" t="inlineStr">
        <is>
          <t>Tab 5 — book dividends less 1099 box 1a and box 2a. The books follow the statement, the return follows the 1099; the gap belongs HERE, not in a journal entry</t>
        </is>
      </c>
    </row>
    <row r="27">
      <c r="B27" s="26" t="inlineStr">
        <is>
          <t>7d</t>
        </is>
      </c>
      <c r="C27" s="27" t="inlineStr">
        <is>
          <t xml:space="preserve">   Other — itemize</t>
        </is>
      </c>
      <c r="D27" s="21" t="n"/>
      <c r="E27" s="33" t="inlineStr">
        <is>
          <t>TYPED</t>
        </is>
      </c>
      <c r="F27" s="40" t="inlineStr"/>
    </row>
    <row r="28">
      <c r="B28" s="31" t="inlineStr">
        <is>
          <t>7</t>
        </is>
      </c>
      <c r="C28" s="32" t="inlineStr">
        <is>
          <t>Total of line 7</t>
        </is>
      </c>
      <c r="D28" s="24">
        <f>SUM(D24:D27)</f>
        <v/>
      </c>
      <c r="E28" s="27" t="inlineStr"/>
      <c r="F28" s="27" t="inlineStr"/>
    </row>
    <row r="29">
      <c r="B29" s="26" t="inlineStr">
        <is>
          <t>8</t>
        </is>
      </c>
      <c r="C29" s="27" t="inlineStr">
        <is>
          <t>Deductions on this return not charged against book income</t>
        </is>
      </c>
      <c r="D29" s="21" t="n"/>
      <c r="E29" s="33" t="inlineStr">
        <is>
          <t>TYPED</t>
        </is>
      </c>
      <c r="F29" s="40" t="inlineStr"/>
    </row>
    <row r="30">
      <c r="B30" s="31" t="inlineStr">
        <is>
          <t>9</t>
        </is>
      </c>
      <c r="C30" s="32" t="inlineStr">
        <is>
          <t>Add lines 7 and 8</t>
        </is>
      </c>
      <c r="D30" s="24">
        <f>D28+D29</f>
        <v/>
      </c>
      <c r="E30" s="27" t="inlineStr"/>
      <c r="F30" s="27" t="inlineStr"/>
    </row>
    <row r="31">
      <c r="B31" s="31" t="inlineStr">
        <is>
          <t>10</t>
        </is>
      </c>
      <c r="C31" s="32" t="inlineStr">
        <is>
          <t>Income — line 6 less line 9</t>
        </is>
      </c>
      <c r="D31" s="24">
        <f>D22-D30</f>
        <v/>
      </c>
      <c r="E31" s="27" t="inlineStr"/>
      <c r="F31" s="32" t="inlineStr">
        <is>
          <t>MUST equal page 1 line 28.</t>
        </is>
      </c>
    </row>
    <row r="32">
      <c r="C32" s="27" t="inlineStr">
        <is>
          <t>Page 1 line 28</t>
        </is>
      </c>
      <c r="D32" s="19">
        <f>'2-Page1'!$D$38</f>
        <v/>
      </c>
      <c r="E32" s="31">
        <f>IF(AND(N(D31)=0,N(D32)=0),"—",IF(ABS(N(D31)-N(D32))&lt;0.005,"PASS","CHECK"))</f>
        <v/>
      </c>
      <c r="F32" s="41" t="inlineStr">
        <is>
          <t>A CHECK here means one of the three investment items has the wrong sign.</t>
        </is>
      </c>
    </row>
  </sheetData>
  <mergeCells count="6">
    <mergeCell ref="A2:F2"/>
    <mergeCell ref="A1:F1"/>
    <mergeCell ref="A9:F9"/>
    <mergeCell ref="A4:F4"/>
    <mergeCell ref="D7:F7"/>
    <mergeCell ref="C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8" customWidth="1" min="2" max="2"/>
    <col width="52" customWidth="1" min="3" max="3"/>
    <col width="20" customWidth="1" min="4" max="4"/>
    <col width="13" customWidth="1" min="5" max="5"/>
    <col width="56" customWidth="1" min="6" max="6"/>
  </cols>
  <sheetData>
    <row r="1" ht="30" customHeight="1">
      <c r="A1" s="1" t="inlineStr">
        <is>
          <t>10 · Schedule M-2 — unappropriated retained earnings</t>
        </is>
      </c>
    </row>
    <row r="2" ht="16" customHeight="1">
      <c r="A2" s="2" t="inlineStr">
        <is>
          <t>Ties Schedule L line 25 from one year to the next.  Line numbers last verified against the 2024 forms · 2026-09-09. Re-verify on irs.gov before entering anything.</t>
        </is>
      </c>
    </row>
    <row r="4">
      <c r="B4" s="23" t="inlineStr">
        <is>
          <t>Line</t>
        </is>
      </c>
      <c r="C4" s="23" t="inlineStr">
        <is>
          <t>Concept</t>
        </is>
      </c>
      <c r="D4" s="23" t="inlineStr">
        <is>
          <t>Amount</t>
        </is>
      </c>
      <c r="E4" s="23" t="inlineStr">
        <is>
          <t>Typed?</t>
        </is>
      </c>
      <c r="F4" s="23" t="inlineStr">
        <is>
          <t>Note</t>
        </is>
      </c>
    </row>
    <row r="5" ht="26" customHeight="1">
      <c r="B5" s="26" t="inlineStr">
        <is>
          <t>1</t>
        </is>
      </c>
      <c r="C5" s="27" t="inlineStr">
        <is>
          <t>Balance at beginning of year</t>
        </is>
      </c>
      <c r="D5" s="19">
        <f>N('0-Client'!$C$26)</f>
        <v/>
      </c>
      <c r="E5" s="29" t="inlineStr">
        <is>
          <t>from tab 0</t>
        </is>
      </c>
      <c r="F5" s="40" t="inlineStr">
        <is>
          <t>🔑 Last year's FILED return, Schedule L line 25 ending column — NOT QuickBooks.</t>
        </is>
      </c>
    </row>
    <row r="6">
      <c r="B6" s="26" t="inlineStr">
        <is>
          <t>2</t>
        </is>
      </c>
      <c r="C6" s="27" t="inlineStr">
        <is>
          <t>Net income (loss) per books</t>
        </is>
      </c>
      <c r="D6" s="19">
        <f>'9-SchM1'!$D$11</f>
        <v/>
      </c>
      <c r="E6" s="29" t="inlineStr">
        <is>
          <t>from tab 9</t>
        </is>
      </c>
      <c r="F6" s="30" t="inlineStr">
        <is>
          <t>Same figure as Schedule M-1 line 1. If they differ, one of them is wrong.</t>
        </is>
      </c>
    </row>
    <row r="7">
      <c r="B7" s="26" t="inlineStr">
        <is>
          <t>3</t>
        </is>
      </c>
      <c r="C7" s="27" t="inlineStr">
        <is>
          <t>Other increases — itemize</t>
        </is>
      </c>
      <c r="D7" s="21" t="n"/>
      <c r="E7" s="33" t="inlineStr">
        <is>
          <t>TYPED</t>
        </is>
      </c>
      <c r="F7" s="30" t="inlineStr">
        <is>
          <t>Needs a statement.</t>
        </is>
      </c>
    </row>
    <row r="8">
      <c r="B8" s="31" t="inlineStr">
        <is>
          <t>4</t>
        </is>
      </c>
      <c r="C8" s="32" t="inlineStr">
        <is>
          <t>Add lines 1, 2 and 3</t>
        </is>
      </c>
      <c r="D8" s="24">
        <f>SUM(D5:D7)</f>
        <v/>
      </c>
      <c r="E8" s="27" t="inlineStr"/>
      <c r="F8" s="27" t="inlineStr"/>
    </row>
    <row r="9" ht="30" customHeight="1">
      <c r="B9" s="26" t="inlineStr">
        <is>
          <t>5a</t>
        </is>
      </c>
      <c r="C9" s="27" t="inlineStr">
        <is>
          <t>Distributions — cash</t>
        </is>
      </c>
      <c r="D9" s="21" t="n"/>
      <c r="E9" s="33" t="inlineStr">
        <is>
          <t>TYPED</t>
        </is>
      </c>
      <c r="F9" s="41" t="inlineStr">
        <is>
          <t>A C-corporation's distribution is a DIVIDEND to the shareholder to the extent of earnings and profits — and it needs a Form 1099-DIV. Enter POSITIVE.</t>
        </is>
      </c>
    </row>
    <row r="10">
      <c r="B10" s="26" t="inlineStr">
        <is>
          <t>5b</t>
        </is>
      </c>
      <c r="C10" s="27" t="inlineStr">
        <is>
          <t>Distributions — stock</t>
        </is>
      </c>
      <c r="D10" s="21" t="n"/>
      <c r="E10" s="33" t="inlineStr">
        <is>
          <t>TYPED</t>
        </is>
      </c>
      <c r="F10" s="30" t="inlineStr">
        <is>
          <t>Enter POSITIVE.</t>
        </is>
      </c>
    </row>
    <row r="11">
      <c r="B11" s="26" t="inlineStr">
        <is>
          <t>5c</t>
        </is>
      </c>
      <c r="C11" s="27" t="inlineStr">
        <is>
          <t>Distributions — property</t>
        </is>
      </c>
      <c r="D11" s="21" t="n"/>
      <c r="E11" s="33" t="inlineStr">
        <is>
          <t>TYPED</t>
        </is>
      </c>
      <c r="F11" s="30" t="inlineStr">
        <is>
          <t>Enter POSITIVE.</t>
        </is>
      </c>
    </row>
    <row r="12" ht="30" customHeight="1">
      <c r="B12" s="26" t="inlineStr">
        <is>
          <t>6</t>
        </is>
      </c>
      <c r="C12" s="27" t="inlineStr">
        <is>
          <t>Other decreases — itemize</t>
        </is>
      </c>
      <c r="D12" s="21" t="n"/>
      <c r="E12" s="33" t="inlineStr">
        <is>
          <t>TYPED</t>
        </is>
      </c>
      <c r="F12" s="40" t="inlineStr">
        <is>
          <t>Needs a statement. A separate 'Dividends Paid' equity account in QuickBooks usually lands here — which is why book retained earnings and the return's can legitimately differ.</t>
        </is>
      </c>
    </row>
    <row r="13">
      <c r="B13" s="31" t="inlineStr">
        <is>
          <t>7</t>
        </is>
      </c>
      <c r="C13" s="32" t="inlineStr">
        <is>
          <t>Add lines 5 and 6</t>
        </is>
      </c>
      <c r="D13" s="24">
        <f>SUM(D9:D12)</f>
        <v/>
      </c>
      <c r="E13" s="27" t="inlineStr"/>
      <c r="F13" s="27" t="inlineStr"/>
    </row>
    <row r="14">
      <c r="B14" s="31" t="inlineStr">
        <is>
          <t>8</t>
        </is>
      </c>
      <c r="C14" s="32" t="inlineStr">
        <is>
          <t>BALANCE AT END OF YEAR  → Schedule L line 25</t>
        </is>
      </c>
      <c r="D14" s="24">
        <f>D8-D13</f>
        <v/>
      </c>
      <c r="E14" s="27" t="inlineStr"/>
      <c r="F14" s="30" t="inlineStr">
        <is>
          <t>Tab 8 pulls this automatically.</t>
        </is>
      </c>
    </row>
    <row r="16" ht="30" customHeight="1">
      <c r="C16" s="27" t="inlineStr">
        <is>
          <t>Retained earnings per QuickBooks at year end, for comparison</t>
        </is>
      </c>
      <c r="D16" s="21" t="n"/>
      <c r="F16" s="40" t="inlineStr">
        <is>
          <t>They need not agree. When they do not, say WHY in the working paper — next year's beginning column is copied from this return, not from the books.</t>
        </is>
      </c>
    </row>
    <row r="17">
      <c r="C17" s="32" t="inlineStr">
        <is>
          <t>Difference</t>
        </is>
      </c>
      <c r="D17" s="24">
        <f>D14-N(D16)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0" customWidth="1" min="2" max="2"/>
    <col width="22" customWidth="1" min="3" max="3"/>
    <col width="22" customWidth="1" min="4" max="4"/>
    <col width="14" customWidth="1" min="5" max="5"/>
    <col width="52" customWidth="1" min="6" max="6"/>
  </cols>
  <sheetData>
    <row r="1" ht="30" customHeight="1">
      <c r="A1" s="1" t="inlineStr">
        <is>
          <t>11 · Tie-outs — every one must pass</t>
        </is>
      </c>
    </row>
    <row r="2" ht="16" customHeight="1">
      <c r="A2" s="2" t="inlineStr">
        <is>
          <t>🛑 Never file with a CHECK showing. A failed tie is a mapping error, not a rounding one.</t>
        </is>
      </c>
    </row>
    <row r="4">
      <c r="B4" s="23" t="inlineStr">
        <is>
          <t>Check</t>
        </is>
      </c>
      <c r="C4" s="23" t="inlineStr">
        <is>
          <t>This</t>
        </is>
      </c>
      <c r="D4" s="23" t="inlineStr">
        <is>
          <t>must equal this</t>
        </is>
      </c>
      <c r="E4" s="23" t="inlineStr">
        <is>
          <t>Result</t>
        </is>
      </c>
      <c r="F4" s="23" t="inlineStr">
        <is>
          <t>If it fails</t>
        </is>
      </c>
    </row>
    <row r="5">
      <c r="B5" s="27" t="inlineStr">
        <is>
          <t>Schedule M-1 line 10 = page 1 line 28</t>
        </is>
      </c>
      <c r="C5" s="19">
        <f>'9-SchM1'!$D$31</f>
        <v/>
      </c>
      <c r="D5" s="19">
        <f>'2-Page1'!$D$38</f>
        <v/>
      </c>
      <c r="E5" s="31">
        <f>IF(AND(N(C5)=0,N(D5)=0),"—",IF(ABS(N(C5)-N(D5))&lt;0.005,"PASS","CHECK"))</f>
        <v/>
      </c>
      <c r="F5" s="40" t="inlineStr">
        <is>
          <t>One of the M-1 items has the wrong sign — start with the unrealized figure.</t>
        </is>
      </c>
    </row>
    <row r="6">
      <c r="B6" s="27" t="inlineStr">
        <is>
          <t>Schedule M-1 line 1 = Schedule M-2 line 2</t>
        </is>
      </c>
      <c r="C6" s="19">
        <f>'9-SchM1'!$D$11</f>
        <v/>
      </c>
      <c r="D6" s="19">
        <f>'10-SchM2'!$D$6</f>
        <v/>
      </c>
      <c r="E6" s="31">
        <f>IF(AND(N(C6)=0,N(D6)=0),"—",IF(ABS(N(C6)-N(D6))&lt;0.005,"PASS","CHECK"))</f>
        <v/>
      </c>
      <c r="F6" s="40" t="inlineStr">
        <is>
          <t>Both are 'net income per books'. They cannot differ.</t>
        </is>
      </c>
    </row>
    <row r="7">
      <c r="B7" s="27" t="inlineStr">
        <is>
          <t>Schedule M-2 line 8 = Schedule L line 25, ending</t>
        </is>
      </c>
      <c r="C7" s="19">
        <f>'10-SchM2'!$D$14</f>
        <v/>
      </c>
      <c r="D7" s="19">
        <f>'8-SchL'!$E$38</f>
        <v/>
      </c>
      <c r="E7" s="31">
        <f>IF(AND(N(C7)=0,N(D7)=0),"—",IF(ABS(N(C7)-N(D7))&lt;0.005,"PASS","CHECK"))</f>
        <v/>
      </c>
      <c r="F7" s="40" t="inlineStr">
        <is>
          <t>Tab 8 pulls this; a break means someone overtyped it.</t>
        </is>
      </c>
    </row>
    <row r="8">
      <c r="B8" s="27" t="inlineStr">
        <is>
          <t>Schedule L balances — ENDING column</t>
        </is>
      </c>
      <c r="C8" s="19">
        <f>'8-SchL'!$E$24</f>
        <v/>
      </c>
      <c r="D8" s="19">
        <f>'8-SchL'!$E$41</f>
        <v/>
      </c>
      <c r="E8" s="31">
        <f>IF(AND(N(C8)=0,N(D8)=0),"—",IF(ABS(N(C8)-N(D8))&lt;0.005,"PASS","CHECK"))</f>
        <v/>
      </c>
      <c r="F8" s="40" t="inlineStr">
        <is>
          <t>Assets ≠ liabilities + equity. Usually a missing account or a sign.</t>
        </is>
      </c>
    </row>
    <row r="9">
      <c r="B9" s="27" t="inlineStr">
        <is>
          <t>Schedule L balances — BEGINNING column</t>
        </is>
      </c>
      <c r="C9" s="19">
        <f>'8-SchL'!$D$24</f>
        <v/>
      </c>
      <c r="D9" s="19">
        <f>'8-SchL'!$D$41</f>
        <v/>
      </c>
      <c r="E9" s="31">
        <f>IF(AND(N(C9)=0,N(D9)=0),"—",IF(ABS(N(C9)-N(D9))&lt;0.005,"PASS","CHECK"))</f>
        <v/>
      </c>
      <c r="F9" s="40" t="inlineStr">
        <is>
          <t>The beginning column was not copied from last year's filed return.</t>
        </is>
      </c>
    </row>
    <row r="10">
      <c r="B10" s="27" t="inlineStr">
        <is>
          <t>Schedule L beginning assets = last year's filed return</t>
        </is>
      </c>
      <c r="C10" s="19">
        <f>'8-SchL'!$D$24</f>
        <v/>
      </c>
      <c r="D10" s="19">
        <f>'0-Client'!$C$27</f>
        <v/>
      </c>
      <c r="E10" s="31">
        <f>IF(AND(N(C10)=0,N(D10)=0),"—",IF(ABS(N(C10)-N(D10))&lt;0.005,"PASS","CHECK"))</f>
        <v/>
      </c>
      <c r="F10" s="40" t="inlineStr">
        <is>
          <t>Copy the filed return's ending column. Do not recalculate it from the books.</t>
        </is>
      </c>
    </row>
    <row r="11">
      <c r="B11" s="27" t="inlineStr">
        <is>
          <t>Page 1 line 4 = Schedule C line 23</t>
        </is>
      </c>
      <c r="C11" s="19">
        <f>'2-Page1'!$D$11</f>
        <v/>
      </c>
      <c r="D11" s="19">
        <f>'3-SchC'!$D$42</f>
        <v/>
      </c>
      <c r="E11" s="31">
        <f>IF(AND(N(C11)=0,N(D11)=0),"—",IF(ABS(N(C11)-N(D11))&lt;0.005,"PASS","CHECK"))</f>
        <v/>
      </c>
      <c r="F11" s="40" t="inlineStr">
        <is>
          <t>Tab 2 pulls this automatically.</t>
        </is>
      </c>
    </row>
    <row r="12">
      <c r="B12" s="27" t="inlineStr">
        <is>
          <t>Page 1 line 29b = Schedule C line 24</t>
        </is>
      </c>
      <c r="C12" s="19">
        <f>'2-Page1'!$D$40</f>
        <v/>
      </c>
      <c r="D12" s="19">
        <f>'3-SchC'!$F$43</f>
        <v/>
      </c>
      <c r="E12" s="31">
        <f>IF(AND(N(C12)=0,N(D12)=0),"—",IF(ABS(N(C12)-N(D12))&lt;0.005,"PASS","CHECK"))</f>
        <v/>
      </c>
      <c r="F12" s="40" t="inlineStr">
        <is>
          <t>Tab 2 pulls this automatically.</t>
        </is>
      </c>
    </row>
    <row r="13">
      <c r="B13" s="27" t="inlineStr">
        <is>
          <t>Page 1 line 8 = Schedule D Part III line 18</t>
        </is>
      </c>
      <c r="C13" s="19">
        <f>'2-Page1'!$D$15</f>
        <v/>
      </c>
      <c r="D13" s="19">
        <f>'4-SchD'!$G$37</f>
        <v/>
      </c>
      <c r="E13" s="31">
        <f>IF(AND(N(C13)=0,N(D13)=0),"—",IF(ABS(N(C13)-N(D13))&lt;0.005,"PASS","CHECK"))</f>
        <v/>
      </c>
      <c r="F13" s="40" t="inlineStr">
        <is>
          <t>A net capital LOSS must arrive as zero — never as a negative.</t>
        </is>
      </c>
    </row>
    <row r="14">
      <c r="B14" s="27" t="inlineStr">
        <is>
          <t>Page 1 line 31 = Schedule J total tax</t>
        </is>
      </c>
      <c r="C14" s="19">
        <f>'2-Page1'!$D$45</f>
        <v/>
      </c>
      <c r="D14" s="19">
        <f>'6-SchJ'!$D$20</f>
        <v/>
      </c>
      <c r="E14" s="31">
        <f>IF(AND(N(C14)=0,N(D14)=0),"—",IF(ABS(N(C14)-N(D14))&lt;0.005,"PASS","CHECK"))</f>
        <v/>
      </c>
      <c r="F14" s="40" t="inlineStr">
        <is>
          <t>Tab 2 pulls this.</t>
        </is>
      </c>
    </row>
    <row r="15">
      <c r="B15" s="27" t="inlineStr">
        <is>
          <t>Brokerage roll-forward = the statement's ending value</t>
        </is>
      </c>
      <c r="C15" s="19">
        <f>'5-Investments'!$E$20</f>
        <v/>
      </c>
      <c r="D15" s="19">
        <f>'5-Investments'!$E$19</f>
        <v/>
      </c>
      <c r="E15" s="31">
        <f>IF(AND(N(C15)=0,N(D15)=0),"—",IF(ABS(N(C15)-N(D15))&lt;0.005,"PASS","CHECK"))</f>
        <v/>
      </c>
      <c r="F15" s="40" t="inlineStr">
        <is>
          <t>The five ties on tab 5 have not all passed. Fix the books before the split is used.</t>
        </is>
      </c>
    </row>
    <row r="16" ht="30" customHeight="1">
      <c r="B16" s="27" t="inlineStr">
        <is>
          <t>Brokerage ending value = Schedule L line 9 (other investments)</t>
        </is>
      </c>
      <c r="C16" s="19">
        <f>'5-Investments'!$E$19</f>
        <v/>
      </c>
      <c r="D16" s="19">
        <f>'8-SchL'!$E$15</f>
        <v/>
      </c>
      <c r="E16" s="31">
        <f>IF(AND(N(C16)=0,N(D16)=0),"—",IF(ABS(N(C16)-N(D16))&lt;0.005,"PASS","CHECK"))</f>
        <v/>
      </c>
      <c r="F16" s="40" t="inlineStr">
        <is>
          <t>Either the portfolio is still sitting in Schedule L line 1 Cash, or line 9 was not filled in.</t>
        </is>
      </c>
    </row>
    <row r="18" ht="19" customHeight="1">
      <c r="A18" s="11" t="inlineStr">
        <is>
          <t>THINGS NO FORMULA CAN CHECK — read them and tick</t>
        </is>
      </c>
    </row>
    <row r="19" ht="28" customHeight="1">
      <c r="B19" s="16" t="n"/>
      <c r="C19" s="4" t="inlineStr">
        <is>
          <t>Every row on the trial balance has a map code, and the unmapped-amount counter on tab 1 reads zero.</t>
        </is>
      </c>
    </row>
    <row r="20" ht="40" customHeight="1">
      <c r="B20" s="16" t="n"/>
      <c r="C20" s="4" t="inlineStr">
        <is>
          <t>Schedule C: if the client holds domestic corporate shares, the broker was ASKED about §243/§854(b) eligibility, and the answer — whatever it was — is written down.</t>
        </is>
      </c>
    </row>
    <row r="21" ht="28" customHeight="1">
      <c r="B21" s="16" t="n"/>
      <c r="C21" s="4" t="inlineStr">
        <is>
          <t>Schedule C: where a DRD is being claimed, the §246(c) holding period was tested against the actual purchase dates, not assumed.</t>
        </is>
      </c>
    </row>
    <row r="22" ht="28" customHeight="1">
      <c r="B22" s="16" t="n"/>
      <c r="C22" s="4" t="inlineStr">
        <is>
          <t>The capital-loss pool on tab 4 has been carried to tab 12. Nothing on the filed return records it.</t>
        </is>
      </c>
    </row>
    <row r="23" ht="40" customHeight="1">
      <c r="B23" s="16" t="n"/>
      <c r="C23" s="4" t="inlineStr">
        <is>
          <t>Every 'attach statement' line with an amount actually HAS its statement drafted — Page 1 lines 10 and 26, Schedule L lines 6, 9, 14, 18, 21, and Schedule M-2 lines 3 and 6.</t>
        </is>
      </c>
    </row>
    <row r="24" ht="28" customHeight="1">
      <c r="B24" s="16" t="n"/>
      <c r="C24" s="4" t="inlineStr">
        <is>
          <t>No CORRECTED Form 1099 has arrived since the figures were taken.</t>
        </is>
      </c>
    </row>
    <row r="25" ht="28" customHeight="1">
      <c r="B25" s="16" t="n"/>
      <c r="C25" s="4" t="inlineStr">
        <is>
          <t>The accounting method on Schedule K matches both the books and the prior return.</t>
        </is>
      </c>
    </row>
    <row r="26" ht="28" customHeight="1">
      <c r="B26" s="16" t="n"/>
      <c r="C26" s="4" t="inlineStr">
        <is>
          <t>Every figure that changes the return was read off the CURRENT-year form on irs.gov, not from this workbook's line numbers.</t>
        </is>
      </c>
    </row>
    <row r="27" ht="28" customHeight="1">
      <c r="B27" s="16" t="n"/>
      <c r="C27" s="4" t="inlineStr">
        <is>
          <t>The working paper in projects/tax-returns/ has been written, with each decision, who made it, and the alternative not taken.</t>
        </is>
      </c>
    </row>
  </sheetData>
  <mergeCells count="12">
    <mergeCell ref="C22:F22"/>
    <mergeCell ref="A2:F2"/>
    <mergeCell ref="C23:F23"/>
    <mergeCell ref="A1:F1"/>
    <mergeCell ref="C20:F20"/>
    <mergeCell ref="C26:F26"/>
    <mergeCell ref="C27:F27"/>
    <mergeCell ref="C21:F21"/>
    <mergeCell ref="A18:F18"/>
    <mergeCell ref="C25:F25"/>
    <mergeCell ref="C24:F24"/>
    <mergeCell ref="C19:F1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58" customWidth="1" min="2" max="2"/>
    <col width="22" customWidth="1" min="3" max="3"/>
    <col width="14" customWidth="1" min="4" max="4"/>
    <col width="58" customWidth="1" min="5" max="5"/>
  </cols>
  <sheetData>
    <row r="1" ht="30" customHeight="1">
      <c r="A1" s="1" t="inlineStr">
        <is>
          <t>12 · What next year needs from this year</t>
        </is>
      </c>
    </row>
    <row r="2" ht="16" customHeight="1">
      <c r="A2" s="2" t="inlineStr">
        <is>
          <t>Fill this in BEFORE you close the file. Several of these appear nowhere on the filed return.</t>
        </is>
      </c>
    </row>
    <row r="4" ht="30" customHeight="1">
      <c r="B4" s="4" t="inlineStr">
        <is>
          <t>Next year's preparer copies this block into tab 0 of a fresh workbook. Every line here is expensive to reconstruct and three of them cannot be reconstructed from the return at all.</t>
        </is>
      </c>
    </row>
    <row r="5">
      <c r="B5" s="23" t="inlineStr">
        <is>
          <t>Item</t>
        </is>
      </c>
      <c r="C5" s="23" t="inlineStr">
        <is>
          <t>Amount / answer</t>
        </is>
      </c>
      <c r="D5" s="23" t="inlineStr">
        <is>
          <t>On the return?</t>
        </is>
      </c>
      <c r="E5" s="23" t="inlineStr">
        <is>
          <t>Why it matters</t>
        </is>
      </c>
    </row>
    <row r="6" ht="30" customHeight="1">
      <c r="B6" s="27" t="inlineStr">
        <is>
          <t>Retained earnings at year end, PER THIS RETURN</t>
        </is>
      </c>
      <c r="C6" s="19">
        <f>'10-SchM2'!$D$14</f>
        <v/>
      </c>
      <c r="D6" s="29" t="inlineStr">
        <is>
          <t>yes</t>
        </is>
      </c>
      <c r="E6" s="40" t="inlineStr">
        <is>
          <t>Schedule M-2 line 8. Becomes next year's M-2 line 1 and Schedule L beginning — never recalculated from the books</t>
        </is>
      </c>
    </row>
    <row r="7">
      <c r="B7" s="27" t="inlineStr">
        <is>
          <t>Total assets at year end, PER THIS RETURN</t>
        </is>
      </c>
      <c r="C7" s="19">
        <f>'8-SchL'!$E$24</f>
        <v/>
      </c>
      <c r="D7" s="29" t="inlineStr">
        <is>
          <t>yes</t>
        </is>
      </c>
      <c r="E7" s="40" t="inlineStr">
        <is>
          <t>Becomes next year's Schedule L beginning column</t>
        </is>
      </c>
    </row>
    <row r="8" ht="30" customHeight="1">
      <c r="B8" s="27" t="inlineStr">
        <is>
          <t>CAPITAL-LOSS POOL carried forward</t>
        </is>
      </c>
      <c r="C8" s="19">
        <f>'4-SchD'!$G$47</f>
        <v/>
      </c>
      <c r="D8" s="50" t="inlineStr">
        <is>
          <t>NO</t>
        </is>
      </c>
      <c r="E8" s="40" t="inlineStr">
        <is>
          <t>🛑 Schedule D's carryover line is BLANK in a year with no gains. This workbook is the only record. Back 3 years, forward 5; short-term when used</t>
        </is>
      </c>
    </row>
    <row r="9">
      <c r="B9" s="27" t="inlineStr">
        <is>
          <t>Earliest year in that pool</t>
        </is>
      </c>
      <c r="C9" s="16" t="n"/>
      <c r="D9" s="50" t="inlineStr">
        <is>
          <t>NO</t>
        </is>
      </c>
      <c r="E9" s="40" t="inlineStr">
        <is>
          <t>Drives the 5-year expiry</t>
        </is>
      </c>
    </row>
    <row r="10">
      <c r="B10" s="27" t="inlineStr">
        <is>
          <t>NOL carryforward remaining</t>
        </is>
      </c>
      <c r="C10" s="21" t="n"/>
      <c r="D10" s="50" t="inlineStr">
        <is>
          <t>NO</t>
        </is>
      </c>
      <c r="E10" s="40" t="inlineStr">
        <is>
          <t>Post-2017 losses carry forward indefinitely but are capped at 80% of taxable income</t>
        </is>
      </c>
    </row>
    <row r="11">
      <c r="B11" s="27" t="inlineStr">
        <is>
          <t>Charitable contributions carried forward</t>
        </is>
      </c>
      <c r="C11" s="19">
        <f>'2-Page1'!$D$56</f>
        <v/>
      </c>
      <c r="D11" s="50" t="inlineStr">
        <is>
          <t>NO</t>
        </is>
      </c>
      <c r="E11" s="40" t="inlineStr">
        <is>
          <t>5 years. The return shows the deduction taken, not the carryforward</t>
        </is>
      </c>
    </row>
    <row r="12">
      <c r="B12" s="27" t="inlineStr">
        <is>
          <t>Cumulative unrealized gain/(loss) on investments</t>
        </is>
      </c>
      <c r="C12" s="19">
        <f>'5-Investments'!$E$35</f>
        <v/>
      </c>
      <c r="D12" s="50" t="inlineStr">
        <is>
          <t>NO</t>
        </is>
      </c>
      <c r="E12" s="40" t="inlineStr">
        <is>
          <t>Next year's cross-check needs it. Nothing on the return carries it</t>
        </is>
      </c>
    </row>
    <row r="13">
      <c r="B13" s="27" t="inlineStr">
        <is>
          <t xml:space="preserve">   of which short-term</t>
        </is>
      </c>
      <c r="C13" s="19">
        <f>'5-Investments'!$E$37</f>
        <v/>
      </c>
      <c r="D13" s="50" t="inlineStr">
        <is>
          <t>NO</t>
        </is>
      </c>
      <c r="E13" s="40" t="inlineStr"/>
    </row>
    <row r="14">
      <c r="B14" s="27" t="inlineStr">
        <is>
          <t xml:space="preserve">   of which long-term</t>
        </is>
      </c>
      <c r="C14" s="19">
        <f>'5-Investments'!$E$38</f>
        <v/>
      </c>
      <c r="D14" s="50" t="inlineStr">
        <is>
          <t>NO</t>
        </is>
      </c>
      <c r="E14" s="40" t="inlineStr"/>
    </row>
    <row r="15" ht="30" customHeight="1">
      <c r="B15" s="27" t="inlineStr">
        <is>
          <t>TAX COST BASIS of the portfolio</t>
        </is>
      </c>
      <c r="C15" s="19">
        <f>'5-Investments'!$E$54</f>
        <v/>
      </c>
      <c r="D15" s="50" t="inlineStr">
        <is>
          <t>NO</t>
        </is>
      </c>
      <c r="E15" s="40" t="inlineStr">
        <is>
          <t>Book carrying value less cumulative unrealized — the figure that reconciles the balance sheet to the tax basis</t>
        </is>
      </c>
    </row>
    <row r="16">
      <c r="B16" s="27" t="inlineStr">
        <is>
          <t>Cumulative return of capital received</t>
        </is>
      </c>
      <c r="C16" s="21" t="n"/>
      <c r="D16" s="50" t="inlineStr">
        <is>
          <t>NO</t>
        </is>
      </c>
      <c r="E16" s="40" t="inlineStr">
        <is>
          <t>Reduces basis; nothing else records it</t>
        </is>
      </c>
    </row>
    <row r="17">
      <c r="B17" s="27" t="inlineStr">
        <is>
          <t>Value convention used — 'with accruals' or 'without'</t>
        </is>
      </c>
      <c r="C17" s="16" t="n"/>
      <c r="D17" s="50" t="inlineStr">
        <is>
          <t>NO</t>
        </is>
      </c>
      <c r="E17" s="40" t="inlineStr">
        <is>
          <t>Changing it between years silently breaks the roll-forward</t>
        </is>
      </c>
    </row>
    <row r="18" ht="30" customHeight="1">
      <c r="B18" s="27" t="inlineStr">
        <is>
          <t>The DRD answer — who was asked, when, what they said</t>
        </is>
      </c>
      <c r="C18" s="16" t="n"/>
      <c r="D18" s="29" t="inlineStr">
        <is>
          <t>partly</t>
        </is>
      </c>
      <c r="E18" s="40" t="inlineStr">
        <is>
          <t>An untaken deduction WITH a reason is a decision; without one it is next year's repeat</t>
        </is>
      </c>
    </row>
    <row r="19" ht="30" customHeight="1">
      <c r="B19" s="27" t="inlineStr">
        <is>
          <t>Schedule L presentation of the portfolio — Cash or Other investments</t>
        </is>
      </c>
      <c r="C19" s="16" t="n"/>
      <c r="D19" s="29" t="inlineStr">
        <is>
          <t>yes</t>
        </is>
      </c>
      <c r="E19" s="40" t="inlineStr">
        <is>
          <t>If it moved this year, next year's beginning column follows THIS return, not the one before</t>
        </is>
      </c>
    </row>
    <row r="20">
      <c r="B20" s="27" t="inlineStr">
        <is>
          <t>Anything on this return that the BOOKS do not carry</t>
        </is>
      </c>
      <c r="C20" s="16" t="n"/>
      <c r="D20" s="29" t="inlineStr">
        <is>
          <t>—</t>
        </is>
      </c>
      <c r="E20" s="40" t="inlineStr">
        <is>
          <t>So next year copies it instead of re-deriving it</t>
        </is>
      </c>
    </row>
    <row r="22" ht="19" customHeight="1">
      <c r="A22" s="12" t="inlineStr">
        <is>
          <t>WHERE THIS ALSO HAS TO GO</t>
        </is>
      </c>
    </row>
    <row r="23" ht="44" customHeight="1">
      <c r="B23" s="4" t="inlineStr">
        <is>
          <t>This workbook is a working file, not the firm's record. Copy the decisions, the alternatives not taken and every figure above into the client's working paper at projects/tax-returns/&lt;client&gt;/&lt;year&gt;-form-1120.md — that is the only place in the repo that holds client figures, and it is what the reviewer reads before the PDF.</t>
        </is>
      </c>
    </row>
  </sheetData>
  <mergeCells count="5">
    <mergeCell ref="B23:E23"/>
    <mergeCell ref="B4:E4"/>
    <mergeCell ref="A2:E2"/>
    <mergeCell ref="A1:E1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2026-09-10T02:24:57Z</dcterms:created>
  <dcterms:modified xsi:type="dcterms:W3CDTF">2026-09-10T02:24:57Z</dcterms:modified>
</cp:coreProperties>
</file>