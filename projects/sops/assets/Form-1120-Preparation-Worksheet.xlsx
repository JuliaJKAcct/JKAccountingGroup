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-Client" sheetId="2" state="visible" r:id="rId4"/>
    <sheet name="1-TrialBalance" sheetId="3" state="visible" r:id="rId5"/>
    <sheet name="2-Page1" sheetId="4" state="visible" r:id="rId6"/>
    <sheet name="3-SchC" sheetId="5" state="visible" r:id="rId7"/>
    <sheet name="4-SchD" sheetId="6" state="visible" r:id="rId8"/>
    <sheet name="5-Investments" sheetId="7" state="visible" r:id="rId9"/>
    <sheet name="6-SchJ" sheetId="8" state="visible" r:id="rId10"/>
    <sheet name="7-SchK" sheetId="9" state="visible" r:id="rId11"/>
    <sheet name="8-SchL" sheetId="10" state="visible" r:id="rId12"/>
    <sheet name="9-SchM1" sheetId="11" state="visible" r:id="rId13"/>
    <sheet name="10-SchM2" sheetId="12" state="visible" r:id="rId14"/>
    <sheet name="11-TieOuts" sheetId="13" state="visible" r:id="rId15"/>
    <sheet name="12-CarryForwar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Total unused corporate capital losses from prior years. NOT on the prior return if there were no gains — take it from last year's working paper.</t>
        </r>
      </text>
    </comment>
    <comment ref="C23" authorId="0">
      <text>
        <r>
          <rPr>
            <sz val="10"/>
            <rFont val="Arial"/>
            <family val="2"/>
          </rPr>
          <t xml:space="preserve">A corporate capital loss expires after 5 years. Oldest first.</t>
        </r>
      </text>
    </comment>
    <comment ref="C25" authorId="0">
      <text>
        <r>
          <rPr>
            <sz val="10"/>
            <rFont val="Arial"/>
            <family val="2"/>
          </rPr>
          <t xml:space="preserve">The prior year's closing mark. Tab 5 cross-checks this year against it.</t>
        </r>
      </text>
    </comment>
    <comment ref="C26" authorId="0">
      <text>
        <r>
          <rPr>
            <sz val="10"/>
            <rFont val="Arial"/>
            <family val="2"/>
          </rPr>
          <t xml:space="preserve">Schedule L line 25, ending column, of last year's return. This is Schedule M-2 line 1 — never recalculate it from the books.</t>
        </r>
      </text>
    </comment>
    <comment ref="C27" authorId="0">
      <text>
        <r>
          <rPr>
            <sz val="10"/>
            <rFont val="Arial"/>
            <family val="2"/>
          </rPr>
          <t xml:space="preserve">Schedule L total assets, ending column. Becomes this year's BEGINNING column.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9" authorId="0">
      <text>
        <r>
          <rPr>
            <sz val="10"/>
            <rFont val="Arial"/>
            <family val="2"/>
          </rPr>
          <t xml:space="preserve">Post-2017 NOLs are limited to 80% of taxable income. Verify the limit for this year before entering.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Add box 1a across every account. Tab 5 gives this figure if the client holds a brokerage account.</t>
        </r>
      </text>
    </comment>
    <comment ref="D7" authorId="0">
      <text>
        <r>
          <rPr>
            <sz val="10"/>
            <rFont val="Arial"/>
            <family val="2"/>
          </rPr>
          <t xml:space="preserve">The statement names the strategy. A US equity strategy is the candidate; a cash or short-duration fund strategy is essentially never.</t>
        </r>
      </text>
    </comment>
    <comment ref="D8" authorId="0">
      <text>
        <r>
          <rPr>
            <sz val="10"/>
            <rFont val="Arial"/>
            <family val="2"/>
          </rPr>
          <t xml:space="preserve">NOT on the consolidated 1099. It comes from the fund's tax-information letter or from asking the broker. Leave blank until you have an answer.</t>
        </r>
      </text>
    </comment>
    <comment ref="D9" authorId="0">
      <text>
        <r>
          <rPr>
            <sz val="10"/>
            <rFont val="Arial"/>
            <family val="2"/>
          </rPr>
          <t xml:space="preserve">The stock must be held more than 45 days in the 91-day period beginning 45 days before the ex-dividend date. A portfolio rebuilt late in the year is exactly where this fails.</t>
        </r>
      </text>
    </comment>
    <comment ref="D10" authorId="0">
      <text>
        <r>
          <rPr>
            <sz val="10"/>
            <rFont val="Arial"/>
            <family val="2"/>
          </rPr>
          <t xml:space="preserve">65% instead of 50%. Rare for a portfolio holding; usually zero.</t>
        </r>
      </text>
    </comment>
    <comment ref="D11" authorId="0">
      <text>
        <r>
          <rPr>
            <sz val="10"/>
            <rFont val="Arial"/>
            <family val="2"/>
          </rPr>
          <t xml:space="preserve">An untaken deduction WITH a reason is a decision. Without one it is next year's repeat.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Enter as a NEGATIVE, and only up to the gains available to absorb it — the pool block below computes how much that is.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6" authorId="0">
      <text>
        <r>
          <rPr>
            <sz val="10"/>
            <rFont val="Arial"/>
            <family val="2"/>
          </rPr>
          <t xml:space="preserve">Date posted, or 'proposed — not posted' with who has to approve it.</t>
        </r>
      </text>
    </comment>
    <comment ref="D9" authorId="0">
      <text>
        <r>
          <rPr>
            <sz val="10"/>
            <rFont val="Arial"/>
            <family val="2"/>
          </rPr>
          <t xml:space="preserve">ORIGINAL, or CORRECTED with its date. A corrected 1099 can arrive weeks after the original.</t>
        </r>
      </text>
    </comment>
    <comment ref="E28" authorId="0">
      <text>
        <r>
          <rPr>
            <sz val="10"/>
            <rFont val="Arial"/>
            <family val="2"/>
          </rPr>
          <t xml:space="preserve">From the 1099-B totals summary of every account. Enter a LOSS as a negative. Wash sales are already inside the reported figure — do not adjust again.</t>
        </r>
      </text>
    </comment>
    <comment ref="E35" authorId="0">
      <text>
        <r>
          <rPr>
            <sz val="10"/>
            <rFont val="Arial"/>
            <family val="2"/>
          </rPr>
          <t xml:space="preserve">The December statement's Unrealized Gain/Loss Summary — short-term plus long-term, all accounts.</t>
        </r>
      </text>
    </comment>
  </commentList>
</comments>
</file>

<file path=xl/sharedStrings.xml><?xml version="1.0" encoding="utf-8"?>
<sst xmlns="http://schemas.openxmlformats.org/spreadsheetml/2006/main" count="1002" uniqueCount="759">
  <si>
    <t xml:space="preserve">Form 1120 — preparation worksheet</t>
  </si>
  <si>
    <t xml:space="preserve">JK Accounting Group · a C-corporation return, from the trial balance to the tie-outs</t>
  </si>
  <si>
    <t xml:space="preserve">What this is</t>
  </si>
  <si>
    <t xml:space="preserve">One workbook per client, per year. Copy it, rename it &lt;Client&gt;-1120-&lt;Year&gt;.xlsx, and fill in only the shaded cells. Everything else computes. It does not file anything and it is not the return — it is the working sheet you prepare FROM, and the record of how each figure was reached.</t>
  </si>
  <si>
    <t xml:space="preserve">Fill in the shaded cells only</t>
  </si>
  <si>
    <t xml:space="preserve">Input</t>
  </si>
  <si>
    <t xml:space="preserve">A figure you type. Shaded, blue text.</t>
  </si>
  <si>
    <t xml:space="preserve">Computed</t>
  </si>
  <si>
    <t xml:space="preserve">A formula. Leave it alone — overtyping one is how a workbook starts lying.</t>
  </si>
  <si>
    <t xml:space="preserve">From another tab</t>
  </si>
  <si>
    <t xml:space="preserve">Pulled from elsewhere in this workbook. Green.</t>
  </si>
  <si>
    <t xml:space="preserve">CHECK</t>
  </si>
  <si>
    <t xml:space="preserve">A tie-out that has not passed. Never file with one showing.</t>
  </si>
  <si>
    <t xml:space="preserve">The order of work</t>
  </si>
  <si>
    <t xml:space="preserve">1.  0 · Client</t>
  </si>
  <si>
    <t xml:space="preserve">Entity details, and the three toggles that decide whether Schedules L, M-1, M-2 and M-3 are even required. Prior-year carryforwards go here — they are the opening position and nothing else supplies them.</t>
  </si>
  <si>
    <t xml:space="preserve">2.  1 · Trial balance</t>
  </si>
  <si>
    <t xml:space="preserve">Paste the year's trial balance and map each account to a destination code. Everything on Page 1 is a SUMIF over this tab, so a mis-mapped account is a wrong return, not a wrong worksheet.</t>
  </si>
  <si>
    <t xml:space="preserve">3.  5 · Investments</t>
  </si>
  <si>
    <t xml:space="preserve">Do this BEFORE Schedules C and D if the client holds a brokerage account — it produces the dividend, realized and unrealized figures those tabs need.</t>
  </si>
  <si>
    <t xml:space="preserve">4.  3 · Schedule C</t>
  </si>
  <si>
    <t xml:space="preserve">Dividends, and the deduction most easily missed.</t>
  </si>
  <si>
    <t xml:space="preserve">5.  4 · Schedule D</t>
  </si>
  <si>
    <t xml:space="preserve">Capital gains and losses, and the loss pool the filed return will not record.</t>
  </si>
  <si>
    <t xml:space="preserve">6.  2 · Page 1</t>
  </si>
  <si>
    <t xml:space="preserve">Income and deductions. Mostly pulls from tabs 1, 3, 4 and 6.</t>
  </si>
  <si>
    <t xml:space="preserve">7.  6 · Schedule J</t>
  </si>
  <si>
    <t xml:space="preserve">The tax. Flat 21%, less credits, against payments.</t>
  </si>
  <si>
    <t xml:space="preserve">8.  7–10 · K, L, M-1, M-2</t>
  </si>
  <si>
    <t xml:space="preserve">The questions, the balance sheet, the book-to-tax bridge, retained earnings.</t>
  </si>
  <si>
    <t xml:space="preserve">9.  11 · Tie-outs</t>
  </si>
  <si>
    <t xml:space="preserve">Every check in one place. All must pass.</t>
  </si>
  <si>
    <t xml:space="preserve">10.  12 · Carry forward</t>
  </si>
  <si>
    <t xml:space="preserve">What next year needs from this year. Fill it in before you close the file.</t>
  </si>
  <si>
    <t xml:space="preserve">THREE THINGS THIS WORKSHEET EXISTS TO STOP</t>
  </si>
  <si>
    <t xml:space="preserve">The dividends-received deduction that never gets taken</t>
  </si>
  <si>
    <t xml:space="preserve">A C-corporation may deduct 50% (or 65%) of dividends from domestic corporations. Schedule C has a catch-all line — Other dividends — that carries no percentage and therefore no deduction, and sending the whole dividend total there is the silent default. Tab 3 will not let it pass unremarked.</t>
  </si>
  <si>
    <t xml:space="preserve">A corporate capital loss treated as if it were deductible</t>
  </si>
  <si>
    <t xml:space="preserve">It deducts nothing against ordinary income. It carries back 3 years and forward 5 — and Schedule D's carryover line stays BLANK in a year with no gains, so the filed return records the pool nowhere at all. Tab 4 keeps the register; nothing else will.</t>
  </si>
  <si>
    <t xml:space="preserve">The Schedule M-1 sign trap</t>
  </si>
  <si>
    <t xml:space="preserve">A book unrealized LOSS belongs on line 5; a book unrealized GAIN on line 7. The sign flips between years, so copying last year's placement gives a return that balances internally and is wrong. Tab 9 takes ONE signed figure and puts it on the right line itself.</t>
  </si>
  <si>
    <t xml:space="preserve">EXAMPLE — the format expected, NOT anybody's data</t>
  </si>
  <si>
    <t xml:space="preserve">Trial-balance row (tab 1)</t>
  </si>
  <si>
    <t xml:space="preserve">Account name</t>
  </si>
  <si>
    <t xml:space="preserve">Book amount</t>
  </si>
  <si>
    <t xml:space="preserve">Map code</t>
  </si>
  <si>
    <t xml:space="preserve">Note</t>
  </si>
  <si>
    <t xml:space="preserve">Sales</t>
  </si>
  <si>
    <t xml:space="preserve">4,222,429.70</t>
  </si>
  <si>
    <t xml:space="preserve">GROSS_RECEIPTS</t>
  </si>
  <si>
    <t xml:space="preserve">Dividend Income</t>
  </si>
  <si>
    <t xml:space="preserve">31,527.68</t>
  </si>
  <si>
    <t xml:space="preserve">DIVIDENDS</t>
  </si>
  <si>
    <t xml:space="preserve">from the brokerage JE</t>
  </si>
  <si>
    <t xml:space="preserve">Bank Fees &amp; Charges</t>
  </si>
  <si>
    <t xml:space="preserve">12,469.96</t>
  </si>
  <si>
    <t xml:space="preserve">OTHER_DED</t>
  </si>
  <si>
    <t xml:space="preserve">investment management fees</t>
  </si>
  <si>
    <t xml:space="preserve">Unrealized Gain/Loss</t>
  </si>
  <si>
    <t xml:space="preserve">106,123.84</t>
  </si>
  <si>
    <t xml:space="preserve">NON_TAX</t>
  </si>
  <si>
    <t xml:space="preserve">book only — goes to M-1, tab 9</t>
  </si>
  <si>
    <t xml:space="preserve">Dates as YYYY-MM-DD · amounts to the cent, no currency symbol typed · a code from the drop-down, never free text.</t>
  </si>
  <si>
    <t xml:space="preserve">Before you file</t>
  </si>
  <si>
    <t xml:space="preserve">Line numbers last verified against the 2024 forms · 2026-09-09. Re-verify on irs.gov before entering anything.  The IRS renumbers, and this firm has been caught by it.</t>
  </si>
  <si>
    <t xml:space="preserve">Client figures live in this workbook and in the client's working paper (projects/tax-returns/). They are never committed to the repo. The blank master is; a filled copy is not.</t>
  </si>
  <si>
    <t xml:space="preserve">Procedure for the brokerage half: projects/sops/brokerage-investment-accounts.md</t>
  </si>
  <si>
    <t xml:space="preserve">0 · Client, year and the toggles</t>
  </si>
  <si>
    <t xml:space="preserve">Fill this first — three of these cells decide which schedules the return even needs</t>
  </si>
  <si>
    <t xml:space="preserve">THE ENTITY</t>
  </si>
  <si>
    <t xml:space="preserve">Client legal name</t>
  </si>
  <si>
    <t xml:space="preserve">EIN  (format 12-3456789)</t>
  </si>
  <si>
    <t xml:space="preserve">Tax year (calendar year ending 12/31)</t>
  </si>
  <si>
    <t xml:space="preserve">Date incorporated</t>
  </si>
  <si>
    <t xml:space="preserve">State of incorporation</t>
  </si>
  <si>
    <t xml:space="preserve">Prepared by</t>
  </si>
  <si>
    <t xml:space="preserve">Date prepared</t>
  </si>
  <si>
    <t xml:space="preserve">Reviewed by</t>
  </si>
  <si>
    <t xml:space="preserve">THE TOGGLES — what this return has to carry</t>
  </si>
  <si>
    <t xml:space="preserve">Total assets at end of year  (Schedule L, tab 8)</t>
  </si>
  <si>
    <t xml:space="preserve">Total receipts for the year  (Page 1 line 1c + lines 4 to 10)</t>
  </si>
  <si>
    <t xml:space="preserve">Schedules L, M-1 and M-2 required?</t>
  </si>
  <si>
    <t xml:space="preserve">Schedule K asks this. Both under $250,000 and they may be omitted — but the firm fills them anyway when the client has a real balance sheet.</t>
  </si>
  <si>
    <t xml:space="preserve">Schedule M-3 instead of M-1?</t>
  </si>
  <si>
    <t xml:space="preserve">M-3 replaces M-1 at $10 million of total assets. This workbook builds M-1 only.</t>
  </si>
  <si>
    <t xml:space="preserve">OPENING POSITION — from LAST year's FILED return, not from the books</t>
  </si>
  <si>
    <t xml:space="preserve">Where these differ from QuickBooks, the FILED RETURN governs, and the difference is written into the working paper so nobody re-derives it next year.</t>
  </si>
  <si>
    <t xml:space="preserve">Capital-loss pool brought forward</t>
  </si>
  <si>
    <t xml:space="preserve">Earliest year in that pool (for the 5-year expiry)</t>
  </si>
  <si>
    <t xml:space="preserve">NOL carryforward available</t>
  </si>
  <si>
    <t xml:space="preserve">Cumulative unrealized gain/(loss) on investments at 1 Jan</t>
  </si>
  <si>
    <t xml:space="preserve">Retained earnings, END of last year, PER THE FILED RETURN</t>
  </si>
  <si>
    <t xml:space="preserve">Total assets, END of last year, PER THE FILED RETURN</t>
  </si>
  <si>
    <t xml:space="preserve">Federal income tax PAID during the year (estimates + extension)</t>
  </si>
  <si>
    <t xml:space="preserve">Overpayment credited forward from last year</t>
  </si>
  <si>
    <t xml:space="preserve">THE STANDING WARNING</t>
  </si>
  <si>
    <t xml:space="preserve">Line numbers last verified against the 2024 forms · 2026-09-09. Re-verify on irs.gov before entering anything.</t>
  </si>
  <si>
    <t xml:space="preserve">1 · Trial balance → where each account goes</t>
  </si>
  <si>
    <t xml:space="preserve">Everything on Page 1 is a SUMIF over this tab. A mis-mapped account is a wrong return.</t>
  </si>
  <si>
    <t xml:space="preserve">THE MAP CODES</t>
  </si>
  <si>
    <t xml:space="preserve">Code</t>
  </si>
  <si>
    <t xml:space="preserve">Goes to</t>
  </si>
  <si>
    <t xml:space="preserve">Page 1 line 1a — gross receipts or sales</t>
  </si>
  <si>
    <t xml:space="preserve">RETURNS</t>
  </si>
  <si>
    <t xml:space="preserve">Page 1 line 1b — returns and allowances</t>
  </si>
  <si>
    <t xml:space="preserve">COGS</t>
  </si>
  <si>
    <t xml:space="preserve">Page 1 line 2 — cost of goods sold (Form 1125-A)</t>
  </si>
  <si>
    <t xml:space="preserve">Page 1 line 4 — via Schedule C (tab 3)</t>
  </si>
  <si>
    <t xml:space="preserve">INTEREST</t>
  </si>
  <si>
    <t xml:space="preserve">Page 1 line 5 — interest income</t>
  </si>
  <si>
    <t xml:space="preserve">GROSS_RENTS</t>
  </si>
  <si>
    <t xml:space="preserve">Page 1 line 6</t>
  </si>
  <si>
    <t xml:space="preserve">ROYALTIES</t>
  </si>
  <si>
    <t xml:space="preserve">Page 1 line 7</t>
  </si>
  <si>
    <t xml:space="preserve">CAPGAIN</t>
  </si>
  <si>
    <t xml:space="preserve">Page 1 line 8 — via Schedule D (tab 4)</t>
  </si>
  <si>
    <t xml:space="preserve">F4797</t>
  </si>
  <si>
    <t xml:space="preserve">Page 1 line 9 — Form 4797</t>
  </si>
  <si>
    <t xml:space="preserve">OTHER_INC</t>
  </si>
  <si>
    <t xml:space="preserve">Page 1 line 10 — other income (needs a statement)</t>
  </si>
  <si>
    <t xml:space="preserve">OFFICER_COMP</t>
  </si>
  <si>
    <t xml:space="preserve">Page 1 line 12 — Form 1125-E</t>
  </si>
  <si>
    <t xml:space="preserve">SALARIES</t>
  </si>
  <si>
    <t xml:space="preserve">Page 1 line 13</t>
  </si>
  <si>
    <t xml:space="preserve">REPAIRS</t>
  </si>
  <si>
    <t xml:space="preserve">Page 1 line 14</t>
  </si>
  <si>
    <t xml:space="preserve">BADDEBT</t>
  </si>
  <si>
    <t xml:space="preserve">Page 1 line 15</t>
  </si>
  <si>
    <t xml:space="preserve">RENTS</t>
  </si>
  <si>
    <t xml:space="preserve">Page 1 line 16</t>
  </si>
  <si>
    <t xml:space="preserve">TAXES_LIC</t>
  </si>
  <si>
    <t xml:space="preserve">Page 1 line 17</t>
  </si>
  <si>
    <t xml:space="preserve">INT_EXP</t>
  </si>
  <si>
    <t xml:space="preserve">Page 1 line 18</t>
  </si>
  <si>
    <t xml:space="preserve">CHARITY</t>
  </si>
  <si>
    <t xml:space="preserve">Page 1 line 19 — 10% limit applies</t>
  </si>
  <si>
    <t xml:space="preserve">DEPREC</t>
  </si>
  <si>
    <t xml:space="preserve">Page 1 line 20 — Form 4562</t>
  </si>
  <si>
    <t xml:space="preserve">DEPLETION</t>
  </si>
  <si>
    <t xml:space="preserve">Page 1 line 21</t>
  </si>
  <si>
    <t xml:space="preserve">ADVERTISING</t>
  </si>
  <si>
    <t xml:space="preserve">Page 1 line 22</t>
  </si>
  <si>
    <t xml:space="preserve">PENSION</t>
  </si>
  <si>
    <t xml:space="preserve">Page 1 line 23</t>
  </si>
  <si>
    <t xml:space="preserve">BENEFITS</t>
  </si>
  <si>
    <t xml:space="preserve">Page 1 line 24</t>
  </si>
  <si>
    <t xml:space="preserve">Page 1 line 26 — other deductions (needs a statement)</t>
  </si>
  <si>
    <t xml:space="preserve">FED_TAX</t>
  </si>
  <si>
    <t xml:space="preserve">Federal income tax per books — M-1 line 2, NOT a deduction</t>
  </si>
  <si>
    <t xml:space="preserve">Book only — never on the return. Goes to M-1 (tab 9)</t>
  </si>
  <si>
    <t xml:space="preserve">BALANCE_SHEET</t>
  </si>
  <si>
    <t xml:space="preserve">An asset or liability — Schedule L (tab 8)</t>
  </si>
  <si>
    <t xml:space="preserve">EQUITY</t>
  </si>
  <si>
    <t xml:space="preserve">Equity — Schedule L and M-2</t>
  </si>
  <si>
    <t xml:space="preserve">EXCLUDE</t>
  </si>
  <si>
    <t xml:space="preserve">Deliberately excluded. Say why in the note.</t>
  </si>
  <si>
    <t xml:space="preserve">THE TRIAL BALANCE — paste it here</t>
  </si>
  <si>
    <t xml:space="preserve">Sign convention: income and equity POSITIVE as they appear on the P&amp;L; expenses POSITIVE. Page 1 subtracts. Do not enter expenses as negatives.</t>
  </si>
  <si>
    <t xml:space="preserve">Account name (as in QuickBooks)</t>
  </si>
  <si>
    <t xml:space="preserve">Note — why, if it is not obvious</t>
  </si>
  <si>
    <t xml:space="preserve">Total, all rows</t>
  </si>
  <si>
    <t xml:space="preserve">A trial balance nets to zero only if you entered it as one. This total is a typing check, not a balance check.</t>
  </si>
  <si>
    <t xml:space="preserve">Rows with an amount but NO map code</t>
  </si>
  <si>
    <t xml:space="preserve">Must be zero. An unmapped amount is simply missing from the return.</t>
  </si>
  <si>
    <t xml:space="preserve">2 · Form 1120, page 1</t>
  </si>
  <si>
    <t xml:space="preserve">Income, deductions, and the tax.  Line numbers last verified against the 2024 forms · 2026-09-09. Re-verify on irs.gov before entering anything.</t>
  </si>
  <si>
    <t xml:space="preserve">INCOME</t>
  </si>
  <si>
    <t xml:space="preserve">Line</t>
  </si>
  <si>
    <t xml:space="preserve">Concept</t>
  </si>
  <si>
    <t xml:space="preserve">Amount</t>
  </si>
  <si>
    <t xml:space="preserve">Typed?</t>
  </si>
  <si>
    <t xml:space="preserve">Where it comes from</t>
  </si>
  <si>
    <t xml:space="preserve">1a</t>
  </si>
  <si>
    <t xml:space="preserve">Gross receipts or sales</t>
  </si>
  <si>
    <t xml:space="preserve">computed</t>
  </si>
  <si>
    <t xml:space="preserve">Trial balance · GROSS_RECEIPTS</t>
  </si>
  <si>
    <t xml:space="preserve">1b</t>
  </si>
  <si>
    <t xml:space="preserve">Returns and allowances</t>
  </si>
  <si>
    <t xml:space="preserve">Trial balance · RETURNS</t>
  </si>
  <si>
    <t xml:space="preserve">1c</t>
  </si>
  <si>
    <t xml:space="preserve">Balance — subtract 1b from 1a</t>
  </si>
  <si>
    <t xml:space="preserve">2</t>
  </si>
  <si>
    <t xml:space="preserve">Cost of goods sold  (attach Form 1125-A)</t>
  </si>
  <si>
    <t xml:space="preserve">Trial balance · COGS</t>
  </si>
  <si>
    <t xml:space="preserve">3</t>
  </si>
  <si>
    <t xml:space="preserve">Gross profit</t>
  </si>
  <si>
    <t xml:space="preserve">4</t>
  </si>
  <si>
    <t xml:space="preserve">Dividends and inclusions  (Schedule C line 23)</t>
  </si>
  <si>
    <t xml:space="preserve">Tab 3 · Schedule C</t>
  </si>
  <si>
    <t xml:space="preserve">5</t>
  </si>
  <si>
    <t xml:space="preserve">Interest</t>
  </si>
  <si>
    <t xml:space="preserve">Trial balance · INTEREST.  A bond or money-market FUND pays dividends, not interest — no 1099-INT is normal</t>
  </si>
  <si>
    <t xml:space="preserve">6</t>
  </si>
  <si>
    <t xml:space="preserve">Gross rents</t>
  </si>
  <si>
    <t xml:space="preserve">Trial balance · GROSS_RENTS</t>
  </si>
  <si>
    <t xml:space="preserve">7</t>
  </si>
  <si>
    <t xml:space="preserve">Gross royalties</t>
  </si>
  <si>
    <t xml:space="preserve">Trial balance · ROYALTIES</t>
  </si>
  <si>
    <t xml:space="preserve">8</t>
  </si>
  <si>
    <t xml:space="preserve">Capital gain net income  (attach Schedule D)</t>
  </si>
  <si>
    <t xml:space="preserve">Tab 4 · Schedule D Part III.  A NET LOSS enters here as ZERO</t>
  </si>
  <si>
    <t xml:space="preserve">9</t>
  </si>
  <si>
    <t xml:space="preserve">Net gain or (loss) from Form 4797</t>
  </si>
  <si>
    <t xml:space="preserve">Trial balance · F4797</t>
  </si>
  <si>
    <t xml:space="preserve">10</t>
  </si>
  <si>
    <t xml:space="preserve">Other income  (attach statement)</t>
  </si>
  <si>
    <t xml:space="preserve">Trial balance · OTHER_INC — and the statement has to be drafted</t>
  </si>
  <si>
    <t xml:space="preserve">11</t>
  </si>
  <si>
    <t xml:space="preserve">TOTAL INCOME</t>
  </si>
  <si>
    <t xml:space="preserve">DEDUCTIONS</t>
  </si>
  <si>
    <t xml:space="preserve">12</t>
  </si>
  <si>
    <t xml:space="preserve">Compensation of officers  (attach Form 1125-E)</t>
  </si>
  <si>
    <t xml:space="preserve">Trial balance · OFFICER_COMP</t>
  </si>
  <si>
    <t xml:space="preserve">13</t>
  </si>
  <si>
    <t xml:space="preserve">Salaries and wages  (less employment credits)</t>
  </si>
  <si>
    <t xml:space="preserve">Trial balance · SALARIES</t>
  </si>
  <si>
    <t xml:space="preserve">14</t>
  </si>
  <si>
    <t xml:space="preserve">Repairs and maintenance</t>
  </si>
  <si>
    <t xml:space="preserve">Trial balance · REPAIRS</t>
  </si>
  <si>
    <t xml:space="preserve">15</t>
  </si>
  <si>
    <t xml:space="preserve">Bad debts</t>
  </si>
  <si>
    <t xml:space="preserve">Trial balance · BADDEBT</t>
  </si>
  <si>
    <t xml:space="preserve">16</t>
  </si>
  <si>
    <t xml:space="preserve">Rents</t>
  </si>
  <si>
    <t xml:space="preserve">Trial balance · RENTS</t>
  </si>
  <si>
    <t xml:space="preserve">17</t>
  </si>
  <si>
    <t xml:space="preserve">Taxes and licenses</t>
  </si>
  <si>
    <t xml:space="preserve">Trial balance · TAXES_LIC.  ⚠ FEDERAL income tax is NOT deductible — map it FED_TAX</t>
  </si>
  <si>
    <t xml:space="preserve">18</t>
  </si>
  <si>
    <t xml:space="preserve">Trial balance · INT_EXP</t>
  </si>
  <si>
    <t xml:space="preserve">19</t>
  </si>
  <si>
    <t xml:space="preserve">Charitable contributions</t>
  </si>
  <si>
    <t xml:space="preserve">LIMITED to 10% — see the limit block at the foot of this tab. The excess carries forward 5 years and the return records it nowhere</t>
  </si>
  <si>
    <t xml:space="preserve">20</t>
  </si>
  <si>
    <t xml:space="preserve">Depreciation from Form 4562</t>
  </si>
  <si>
    <t xml:space="preserve">Trial balance · DEPREC</t>
  </si>
  <si>
    <t xml:space="preserve">21</t>
  </si>
  <si>
    <t xml:space="preserve">Depletion</t>
  </si>
  <si>
    <t xml:space="preserve">Trial balance · DEPLETION</t>
  </si>
  <si>
    <t xml:space="preserve">22</t>
  </si>
  <si>
    <t xml:space="preserve">Advertising</t>
  </si>
  <si>
    <t xml:space="preserve">Trial balance · ADVERTISING</t>
  </si>
  <si>
    <t xml:space="preserve">23</t>
  </si>
  <si>
    <t xml:space="preserve">Pension, profit-sharing, etc., plans</t>
  </si>
  <si>
    <t xml:space="preserve">Trial balance · PENSION</t>
  </si>
  <si>
    <t xml:space="preserve">24</t>
  </si>
  <si>
    <t xml:space="preserve">Employee benefit programs</t>
  </si>
  <si>
    <t xml:space="preserve">Trial balance · BENEFITS</t>
  </si>
  <si>
    <t xml:space="preserve">25</t>
  </si>
  <si>
    <t xml:space="preserve">Energy efficient commercial buildings deduction</t>
  </si>
  <si>
    <t xml:space="preserve">TYPED</t>
  </si>
  <si>
    <t xml:space="preserve">Form 7205, if any</t>
  </si>
  <si>
    <t xml:space="preserve">26</t>
  </si>
  <si>
    <t xml:space="preserve">Other deductions  (attach statement)</t>
  </si>
  <si>
    <t xml:space="preserve">Trial balance · OTHER_DED.  Investment management fees belong here — deductible for a CORPORATION (§162); the §67(g) bar is an individual rule</t>
  </si>
  <si>
    <t xml:space="preserve">27</t>
  </si>
  <si>
    <t xml:space="preserve">TOTAL DEDUCTIONS</t>
  </si>
  <si>
    <t xml:space="preserve">28</t>
  </si>
  <si>
    <t xml:space="preserve">Taxable income before NOL and special deductions</t>
  </si>
  <si>
    <t xml:space="preserve">29a</t>
  </si>
  <si>
    <t xml:space="preserve">Net operating loss deduction</t>
  </si>
  <si>
    <t xml:space="preserve">From tab 0 · NOL carryforward, limited to 80% of line 28 for post-2017 losses — check before entering</t>
  </si>
  <si>
    <t xml:space="preserve">29b</t>
  </si>
  <si>
    <t xml:space="preserve">Special deductions  (Schedule C line 24)</t>
  </si>
  <si>
    <t xml:space="preserve">Tab 3 · the dividends-received deduction</t>
  </si>
  <si>
    <t xml:space="preserve">29c</t>
  </si>
  <si>
    <t xml:space="preserve">Add lines 29a and 29b</t>
  </si>
  <si>
    <t xml:space="preserve">30</t>
  </si>
  <si>
    <t xml:space="preserve">TAXABLE INCOME</t>
  </si>
  <si>
    <t xml:space="preserve">TAX AND PAYMENTS</t>
  </si>
  <si>
    <t xml:space="preserve">31</t>
  </si>
  <si>
    <t xml:space="preserve">Total tax  (Schedule J line 12)</t>
  </si>
  <si>
    <t xml:space="preserve">Tab 6</t>
  </si>
  <si>
    <t xml:space="preserve">33</t>
  </si>
  <si>
    <t xml:space="preserve">Total payments and credits  (Schedule J line 23)</t>
  </si>
  <si>
    <t xml:space="preserve">34</t>
  </si>
  <si>
    <t xml:space="preserve">Estimated tax penalty  (Form 2220)</t>
  </si>
  <si>
    <t xml:space="preserve">Form 2220 if underpaid</t>
  </si>
  <si>
    <t xml:space="preserve">35</t>
  </si>
  <si>
    <t xml:space="preserve">Amount owed</t>
  </si>
  <si>
    <t xml:space="preserve">36</t>
  </si>
  <si>
    <t xml:space="preserve">Overpayment</t>
  </si>
  <si>
    <t xml:space="preserve">THE CHARITABLE LIMIT — check it before line 19 is trusted</t>
  </si>
  <si>
    <t xml:space="preserve">Contributions per the books</t>
  </si>
  <si>
    <t xml:space="preserve">Taxable income before the contribution and before NOL / special deductions</t>
  </si>
  <si>
    <t xml:space="preserve">10% limit</t>
  </si>
  <si>
    <t xml:space="preserve">Deductible this year  → line 19 above</t>
  </si>
  <si>
    <t xml:space="preserve">Carried forward (5 years)</t>
  </si>
  <si>
    <t xml:space="preserve">Carry this to tab 12. Nothing on the filed return records it.</t>
  </si>
  <si>
    <t xml:space="preserve">3 · Schedule C — dividends, and the deduction most easily missed</t>
  </si>
  <si>
    <t xml:space="preserve">A C-corporation deducts part of what it receives from DOMESTIC corporations. Line numbers last verified against the 2024 forms · 2026-09-09. Re-verify on irs.gov before entering anything.</t>
  </si>
  <si>
    <t xml:space="preserve">BEFORE YOU FILL THE SCHEDULE — decide the deduction</t>
  </si>
  <si>
    <t xml:space="preserve">Schedule C has a catch-all line 20, Other dividends. It carries NO percentage and therefore NO deduction. Sending the whole dividend total there is the silent default, and it has already happened on a real filed return. Work these four rows first.</t>
  </si>
  <si>
    <t xml:space="preserve">Total ordinary dividends received  (1099-DIV box 1a, ALL accounts)</t>
  </si>
  <si>
    <t xml:space="preserve">Does any account hold DOMESTIC CORPORATE SHARES?  (Yes / No)</t>
  </si>
  <si>
    <t xml:space="preserve">Amount confirmed §243 / §854(b) ELIGIBLE by the broker or fund</t>
  </si>
  <si>
    <t xml:space="preserve">§246(c) holding period met on that amount?  (Yes / No / Not tested)</t>
  </si>
  <si>
    <t xml:space="preserve">Of the eligible amount, from payers 20%-or-more owned</t>
  </si>
  <si>
    <t xml:space="preserve">Who was asked, when, and what they said</t>
  </si>
  <si>
    <t xml:space="preserve">→ Eligible at 50%  (less-than-20%-owned)</t>
  </si>
  <si>
    <t xml:space="preserve">Zero until the holding period is answered Yes — deliberately.</t>
  </si>
  <si>
    <t xml:space="preserve">→ Eligible at 65%  (20%-or-more-owned)</t>
  </si>
  <si>
    <t xml:space="preserve">→ Everything else — line 20, no deduction</t>
  </si>
  <si>
    <t xml:space="preserve">VERDICT</t>
  </si>
  <si>
    <t xml:space="preserve">SCHEDULE C AS IT IS FILLED IN</t>
  </si>
  <si>
    <t xml:space="preserve">(a) Dividends</t>
  </si>
  <si>
    <t xml:space="preserve">(b) %</t>
  </si>
  <si>
    <t xml:space="preserve">(c) Special deduction</t>
  </si>
  <si>
    <t xml:space="preserve">1</t>
  </si>
  <si>
    <t xml:space="preserve">Dividends from less-than-20%-owned domestic corporations</t>
  </si>
  <si>
    <t xml:space="preserve">🔴 THE DRD LINE. This is where portfolio dividends from US companies belong.</t>
  </si>
  <si>
    <t xml:space="preserve">Dividends from 20%-or-more-owned domestic corporations</t>
  </si>
  <si>
    <t xml:space="preserve">Dividends on certain debt-financed stock</t>
  </si>
  <si>
    <t xml:space="preserve">§246A — only if the shares were bought with borrowed money</t>
  </si>
  <si>
    <t xml:space="preserve">Certain preferred stock of less-than-20%-owned public utilities</t>
  </si>
  <si>
    <t xml:space="preserve">Certain preferred stock of 20%-or-more-owned public utilities</t>
  </si>
  <si>
    <t xml:space="preserve">Less-than-20%-owned FOREIGN corporations and certain FSCs</t>
  </si>
  <si>
    <t xml:space="preserve">20%-or-more-owned foreign corporations and certain FSCs</t>
  </si>
  <si>
    <t xml:space="preserve">Wholly owned foreign subsidiaries</t>
  </si>
  <si>
    <t xml:space="preserve">Subtotal — add lines 1 through 8</t>
  </si>
  <si>
    <t xml:space="preserve">See the instructions for the taxable-income limitation</t>
  </si>
  <si>
    <t xml:space="preserve">Dividends from an SBIC</t>
  </si>
  <si>
    <t xml:space="preserve">Dividends from affiliated group members</t>
  </si>
  <si>
    <t xml:space="preserve">Dividends from certain FSCs</t>
  </si>
  <si>
    <t xml:space="preserve">Foreign-source portion from a specified 10%-owned foreign corporation</t>
  </si>
  <si>
    <t xml:space="preserve">§245A</t>
  </si>
  <si>
    <t xml:space="preserve">Dividends from foreign corporations not on 3, 6, 7, 8, 11, 12 or 13</t>
  </si>
  <si>
    <t xml:space="preserve">16a</t>
  </si>
  <si>
    <t xml:space="preserve">Subpart F inclusions — sale of lower-tier stock (Form 5471)</t>
  </si>
  <si>
    <t xml:space="preserve">16b</t>
  </si>
  <si>
    <t xml:space="preserve">Subpart F inclusions from hybrid dividends of tiered corporations</t>
  </si>
  <si>
    <t xml:space="preserve">16c</t>
  </si>
  <si>
    <t xml:space="preserve">Other subpart F inclusions</t>
  </si>
  <si>
    <t xml:space="preserve">GILTI  (Forms 5471 and 8992)</t>
  </si>
  <si>
    <t xml:space="preserve">Gross-up for foreign taxes deemed paid</t>
  </si>
  <si>
    <t xml:space="preserve">§78</t>
  </si>
  <si>
    <t xml:space="preserve">IC-DISC and former DISC dividends</t>
  </si>
  <si>
    <t xml:space="preserve">OTHER DIVIDENDS</t>
  </si>
  <si>
    <t xml:space="preserve">⚠ No percentage column — nothing entered here earns a deduction</t>
  </si>
  <si>
    <t xml:space="preserve">Deduction for dividends paid on certain preferred stock of public utilities</t>
  </si>
  <si>
    <t xml:space="preserve">§250 deduction  (Form 8993)</t>
  </si>
  <si>
    <t xml:space="preserve">TOTAL DIVIDENDS AND INCLUSIONS  → page 1 line 4</t>
  </si>
  <si>
    <t xml:space="preserve">Column (a), lines 9 through 20</t>
  </si>
  <si>
    <t xml:space="preserve">TOTAL SPECIAL DEDUCTIONS  → page 1 line 29b</t>
  </si>
  <si>
    <t xml:space="preserve">Column (c), lines 9 through 22</t>
  </si>
  <si>
    <t xml:space="preserve">Dividends per the BOOKS, for comparison</t>
  </si>
  <si>
    <t xml:space="preserve">The books follow the STATEMENT; the return follows the 1099. A difference is a timing item for Schedule M-1 — do NOT adjust the books to match.</t>
  </si>
  <si>
    <t xml:space="preserve">4 · Schedule D — capital gains and losses</t>
  </si>
  <si>
    <t xml:space="preserve">A corporation deducts capital losses ONLY against capital gains (§1211(a)).  Line numbers last verified against the 2024 forms · 2026-09-09. Re-verify on irs.gov before entering anything.</t>
  </si>
  <si>
    <t xml:space="preserve">PART I — SHORT-TERM  (Form 8949 Part I)</t>
  </si>
  <si>
    <t xml:space="preserve">(d) Proceeds</t>
  </si>
  <si>
    <t xml:space="preserve">(e) Cost basis</t>
  </si>
  <si>
    <t xml:space="preserve">(h) Gain / (loss)</t>
  </si>
  <si>
    <t xml:space="preserve">Short-term 1099-B, basis reported, no adjustments</t>
  </si>
  <si>
    <t xml:space="preserve">Only if you are NOT using Form 8949 for them</t>
  </si>
  <si>
    <t xml:space="preserve">Totals — Form 8949 Box A</t>
  </si>
  <si>
    <t xml:space="preserve">Wash sales are ALREADY inside column (h). Do not adjust again</t>
  </si>
  <si>
    <t xml:space="preserve">Totals — Form 8949 Box B</t>
  </si>
  <si>
    <t xml:space="preserve">Basis not reported to the IRS</t>
  </si>
  <si>
    <t xml:space="preserve">Totals — Form 8949 Box C</t>
  </si>
  <si>
    <t xml:space="preserve">Not reported on a 1099-B at all</t>
  </si>
  <si>
    <t xml:space="preserve">Short-term gain from installment sales (Form 6252)</t>
  </si>
  <si>
    <t xml:space="preserve">Short-term gain or (loss) from like-kind exchanges (Form 8824)</t>
  </si>
  <si>
    <t xml:space="preserve">Unused capital loss carryover  (attach computation)</t>
  </si>
  <si>
    <t xml:space="preserve">Only to the extent of gains. In a year with no gains this stays BLANK — which is why the pool has to be tracked outside the return.</t>
  </si>
  <si>
    <t xml:space="preserve">NET SHORT-TERM</t>
  </si>
  <si>
    <t xml:space="preserve">PART II — LONG-TERM  (Form 8949 Part II)</t>
  </si>
  <si>
    <t xml:space="preserve">8a</t>
  </si>
  <si>
    <t xml:space="preserve">Long-term 1099-B, basis reported, no adjustments</t>
  </si>
  <si>
    <t xml:space="preserve">8b</t>
  </si>
  <si>
    <t xml:space="preserve">Totals — Form 8949 Box D</t>
  </si>
  <si>
    <t xml:space="preserve">Totals — Form 8949 Box E</t>
  </si>
  <si>
    <t xml:space="preserve">Totals — Form 8949 Box F</t>
  </si>
  <si>
    <t xml:space="preserve">Gain from Form 4797</t>
  </si>
  <si>
    <t xml:space="preserve">Long-term gain from installment sales</t>
  </si>
  <si>
    <t xml:space="preserve">Long-term gain or (loss) from like-kind exchanges</t>
  </si>
  <si>
    <t xml:space="preserve">CAPITAL GAIN DISTRIBUTIONS  (1099-DIV box 2a)</t>
  </si>
  <si>
    <t xml:space="preserve">🔑 ALWAYS long-term, however long the fund was held — and they are NOT dividends. Take them OUT of Schedule C</t>
  </si>
  <si>
    <t xml:space="preserve">NET LONG-TERM</t>
  </si>
  <si>
    <t xml:space="preserve">PART III — SUMMARY</t>
  </si>
  <si>
    <t xml:space="preserve">Excess of net short-term gain over net long-term loss</t>
  </si>
  <si>
    <t xml:space="preserve">Net capital gain — excess of net long-term gain over net short-term loss</t>
  </si>
  <si>
    <t xml:space="preserve">TOTAL  → page 1 line 8</t>
  </si>
  <si>
    <t xml:space="preserve">🛑 Floored at ZERO. A net capital loss puts NOTHING on page 1.</t>
  </si>
  <si>
    <t xml:space="preserve">THE NET POSITION, AND THE POOL NOTHING ELSE RECORDS</t>
  </si>
  <si>
    <t xml:space="preserve">Net capital gain / (loss) for the year</t>
  </si>
  <si>
    <t xml:space="preserve">Of which DEDUCTIBLE this year</t>
  </si>
  <si>
    <t xml:space="preserve">A loss deducts nothing. §1211(a).</t>
  </si>
  <si>
    <t xml:space="preserve">NOT deductible — goes to Schedule M-1 line 3</t>
  </si>
  <si>
    <t xml:space="preserve">Tab 9 picks this up automatically.</t>
  </si>
  <si>
    <t xml:space="preserve">Pool brought forward from prior years</t>
  </si>
  <si>
    <t xml:space="preserve">Used this year against gains</t>
  </si>
  <si>
    <t xml:space="preserve">Enter this on line 6 above — and ONLY this much.</t>
  </si>
  <si>
    <t xml:space="preserve">Added this year</t>
  </si>
  <si>
    <t xml:space="preserve">POOL CARRIED FORWARD</t>
  </si>
  <si>
    <t xml:space="preserve">🛑 Carry it to tab 12. Line 6 is BLANK in a year with no gains, so the filed return records this pool NOWHERE. Back 3 years, forward 5; short-term when used.</t>
  </si>
  <si>
    <t xml:space="preserve">Earliest year in the pool → expires after</t>
  </si>
  <si>
    <t xml:space="preserve">5 · Brokerage accounts — the year-end split</t>
  </si>
  <si>
    <t xml:space="preserve">Procedure: projects/sops/brokerage-investment-accounts.md · do this BEFORE tabs 3 and 4</t>
  </si>
  <si>
    <t xml:space="preserve">The books carry the account at MARKET value, so the monthly entry's balancing line absorbs REALIZED and UNREALIZED movement in one number — and only one of the two is taxable. Separating them is this tab. Skip it entirely if the client holds no brokerage account.</t>
  </si>
  <si>
    <t xml:space="preserve">THE THREE DOCUMENTS — none is optional</t>
  </si>
  <si>
    <t xml:space="preserve">Consolidated Form 1099 — ONE PER ACCOUNT</t>
  </si>
  <si>
    <t xml:space="preserve">The tax figures: dividends by box, realized gain/loss split short vs long, wash sales, foreign tax, and the year's fees</t>
  </si>
  <si>
    <t xml:space="preserve">The DECEMBER (year-end) statement</t>
  </si>
  <si>
    <t xml:space="preserve">The book figures and every tie below. ⚠ One statement can cover several accounts — its summary will say Managed(2) or similar</t>
  </si>
  <si>
    <t xml:space="preserve">Last year's FILED return</t>
  </si>
  <si>
    <t xml:space="preserve">The opening position: cumulative unrealized, the capital-loss pool, and last year's presentation</t>
  </si>
  <si>
    <t xml:space="preserve">1099 version worked from:</t>
  </si>
  <si>
    <t xml:space="preserve">Check before filing whether a CORRECTED 1099 has been issued.</t>
  </si>
  <si>
    <t xml:space="preserve">THE FIVE TIES — all five pass, or the split below is a guess</t>
  </si>
  <si>
    <t xml:space="preserve">Check</t>
  </si>
  <si>
    <t xml:space="preserve">Account 1</t>
  </si>
  <si>
    <t xml:space="preserve">Account 2</t>
  </si>
  <si>
    <t xml:space="preserve">TOTAL — books</t>
  </si>
  <si>
    <t xml:space="preserve">Tie</t>
  </si>
  <si>
    <t xml:space="preserve">Statement says</t>
  </si>
  <si>
    <t xml:space="preserve">Account number (last 4)</t>
  </si>
  <si>
    <t xml:space="preserve">1 · Beginning value at 31 Dec LAST year</t>
  </si>
  <si>
    <t xml:space="preserve">Statement · Beginning Account Value, year-to-date</t>
  </si>
  <si>
    <t xml:space="preserve">2 · Net deposits / withdrawals for the year</t>
  </si>
  <si>
    <t xml:space="preserve">🔎 NOT a tie — the PROOF of whether cash moved. Zero net means the whole change is performance. A transfer between the client's own accounts nets to zero across the pair</t>
  </si>
  <si>
    <t xml:space="preserve">3 · Income year-to-date</t>
  </si>
  <si>
    <t xml:space="preserve">Statement · Income YTD. Must equal the book Dividend Income account</t>
  </si>
  <si>
    <t xml:space="preserve">4 · Fees year-to-date  (enter POSITIVE)</t>
  </si>
  <si>
    <t xml:space="preserve">Statement · Fees YTD. Must also equal the 1099's own fee schedule</t>
  </si>
  <si>
    <t xml:space="preserve">5 · CHANGE IN INVESTMENT VALUE year-to-date</t>
  </si>
  <si>
    <t xml:space="preserve">⭐ The statement prints this. It is realized + unrealized combined — the figure the whole split runs off</t>
  </si>
  <si>
    <t xml:space="preserve">   Ending value at 31 Dec THIS year</t>
  </si>
  <si>
    <t xml:space="preserve">Statement · Ending Account Value. Use 'with accruals' if both are shown — and use the SAME convention every year</t>
  </si>
  <si>
    <t xml:space="preserve">Roll-forward:  beginning + deposits + income − fees + change</t>
  </si>
  <si>
    <t xml:space="preserve">Must equal the ending value, to the cent, per account AND in total.</t>
  </si>
  <si>
    <t xml:space="preserve">→ does it equal the ending value?</t>
  </si>
  <si>
    <t xml:space="preserve">A CHECK here, in order of likelihood: a month was never booked · a deposit went through the plug instead of being posted as a transfer · 'with accruals' mixed with 'without' between years · an entry posted to the wrong account of the pair.</t>
  </si>
  <si>
    <t xml:space="preserve">Books — Dividend Income account for the year</t>
  </si>
  <si>
    <t xml:space="preserve">Tie 3.</t>
  </si>
  <si>
    <t xml:space="preserve">Books — fees account for the year</t>
  </si>
  <si>
    <t xml:space="preserve">Tie 4. Also compare to the 1099's fee schedule.</t>
  </si>
  <si>
    <t xml:space="preserve">Books — Investment Income/Loss, parent AND every sub-account</t>
  </si>
  <si>
    <t xml:space="preserve">Tie 5 — the important one. Add the parent and all children.</t>
  </si>
  <si>
    <t xml:space="preserve">THE SPLIT</t>
  </si>
  <si>
    <t xml:space="preserve">Change in investment value for the year</t>
  </si>
  <si>
    <t xml:space="preserve">less  1099-B NET realized gain / (loss), all accounts, short + long</t>
  </si>
  <si>
    <t xml:space="preserve">Also feeds Schedule D (tab 4). Enter a loss as a NEGATIVE.</t>
  </si>
  <si>
    <t xml:space="preserve">→ UNREALIZED gain / (loss) for the year</t>
  </si>
  <si>
    <t xml:space="preserve">🛑 Goes to Schedule M-1 (tab 9) — which line depends on the SIGN. Tab 9 decides it.</t>
  </si>
  <si>
    <t xml:space="preserve">THE CROSS-CHECK</t>
  </si>
  <si>
    <t xml:space="preserve">Cumulative unrealized at 1 January  (tab 0)</t>
  </si>
  <si>
    <t xml:space="preserve">plus this year's unrealized</t>
  </si>
  <si>
    <t xml:space="preserve">→ expected cumulative at 31 December</t>
  </si>
  <si>
    <t xml:space="preserve">Statement's own cumulative unrealized position at 31 December</t>
  </si>
  <si>
    <t xml:space="preserve">Enter the short-term and long-term parts below for tab 12.</t>
  </si>
  <si>
    <t xml:space="preserve">RESIDUAL</t>
  </si>
  <si>
    <t xml:space="preserve">Tens or a few hundred dollars is the NORMAL residual — the statement excludes positions with no cost basis and omits wash sales from the last business day. Thousands is an error: go back to the five ties.</t>
  </si>
  <si>
    <t xml:space="preserve">of which short-term</t>
  </si>
  <si>
    <t xml:space="preserve">of which long-term</t>
  </si>
  <si>
    <t xml:space="preserve">THE ONE ENTRY TO POST, DATED 31 DECEMBER</t>
  </si>
  <si>
    <t xml:space="preserve">Net income does not move and the balance sheet is untouched. It exists so next year can READ the two figures instead of deriving them.</t>
  </si>
  <si>
    <t xml:space="preserve">Account</t>
  </si>
  <si>
    <t xml:space="preserve">Balance now</t>
  </si>
  <si>
    <t xml:space="preserve">Should be</t>
  </si>
  <si>
    <t xml:space="preserve">Debit</t>
  </si>
  <si>
    <t xml:space="preserve">Credit</t>
  </si>
  <si>
    <t xml:space="preserve">Investment Income/Loss  (parent — REALIZED)</t>
  </si>
  <si>
    <t xml:space="preserve">Income accounts: a credit balance is positive.</t>
  </si>
  <si>
    <t xml:space="preserve">Investment Income/Loss : Unrealized Gain/Loss</t>
  </si>
  <si>
    <t xml:space="preserve">Totals — must be equal</t>
  </si>
  <si>
    <t xml:space="preserve">Posted?</t>
  </si>
  <si>
    <t xml:space="preserve">WHAT TO CARRY TO THE OTHER TABS</t>
  </si>
  <si>
    <t xml:space="preserve">1099-DIV box 1a, all accounts  → tab 3, 'Total ordinary dividends received'</t>
  </si>
  <si>
    <t xml:space="preserve">1099-DIV box 2a capital gain distributions  → tab 4 line 14</t>
  </si>
  <si>
    <t xml:space="preserve">Long-term, always. NOT a dividend.</t>
  </si>
  <si>
    <t xml:space="preserve">1099-DIV box 3 nondividend distributions (return of capital)</t>
  </si>
  <si>
    <t xml:space="preserve">Not income anywhere. Reduces basis — carry it to tab 12.</t>
  </si>
  <si>
    <t xml:space="preserve">1099-DIV box 7 foreign tax paid</t>
  </si>
  <si>
    <t xml:space="preserve">Deduct it, or credit it on Form 1118. Often not in the books at all.</t>
  </si>
  <si>
    <t xml:space="preserve">Book dividends LESS 1099 box 1a AND box 2a  → Schedule M-1 line 7c</t>
  </si>
  <si>
    <t xml:space="preserve">⛔ Do NOT adjust the books. The books follow the STATEMENT, the return follows the 1099, and this difference goes on Schedule M-1 — tab 9 picks it up. Box 2a is subtracted because it IS taxable, on Schedule D; box 3 needs no separate line because it is already inside the book figure.</t>
  </si>
  <si>
    <t xml:space="preserve">Tax cost basis of the portfolio at 31 December</t>
  </si>
  <si>
    <t xml:space="preserve">Book carrying value less cumulative unrealized. Carry to tab 12.</t>
  </si>
  <si>
    <t xml:space="preserve">6 · Schedule J — the tax, and what has been paid</t>
  </si>
  <si>
    <t xml:space="preserve">A C-corporation pays a FLAT 21% (§11(b)).  Line numbers last verified against the 2024 forms · 2026-09-09. Re-verify on irs.gov before entering anything.</t>
  </si>
  <si>
    <t xml:space="preserve">THE TAX</t>
  </si>
  <si>
    <t xml:space="preserve">—</t>
  </si>
  <si>
    <t xml:space="preserve">Taxable income  (page 1 line 30)</t>
  </si>
  <si>
    <t xml:space="preserve">Tab 2</t>
  </si>
  <si>
    <t xml:space="preserve">Corporate rate</t>
  </si>
  <si>
    <t xml:space="preserve">21% since 2018. Re-verify each year — this is the one rate that would change everything.</t>
  </si>
  <si>
    <t xml:space="preserve">Income tax</t>
  </si>
  <si>
    <t xml:space="preserve">Flat rate on taxable income</t>
  </si>
  <si>
    <t xml:space="preserve">Base erosion minimum tax  (Form 8991)</t>
  </si>
  <si>
    <t xml:space="preserve">Large corporations only — normally blank</t>
  </si>
  <si>
    <t xml:space="preserve">Add lines 2 and 3</t>
  </si>
  <si>
    <t xml:space="preserve">5a</t>
  </si>
  <si>
    <t xml:space="preserve">Foreign tax credit  (Form 1118)</t>
  </si>
  <si>
    <t xml:space="preserve">Or deduct the foreign tax instead — for a small amount, deduct</t>
  </si>
  <si>
    <t xml:space="preserve">5b</t>
  </si>
  <si>
    <t xml:space="preserve">Credit from Form 8834</t>
  </si>
  <si>
    <t xml:space="preserve">5c</t>
  </si>
  <si>
    <t xml:space="preserve">General business credit  (Form 3800)</t>
  </si>
  <si>
    <t xml:space="preserve">5d</t>
  </si>
  <si>
    <t xml:space="preserve">Credit for prior year minimum tax  (Form 8827)</t>
  </si>
  <si>
    <t xml:space="preserve">5e</t>
  </si>
  <si>
    <t xml:space="preserve">Bond credits  (Form 8912)</t>
  </si>
  <si>
    <t xml:space="preserve">Total credits</t>
  </si>
  <si>
    <t xml:space="preserve">Subtract line 6 from line 4</t>
  </si>
  <si>
    <t xml:space="preserve">Personal holding company tax  (Schedule PH)</t>
  </si>
  <si>
    <t xml:space="preserve">Other taxes and recaptures</t>
  </si>
  <si>
    <t xml:space="preserve">Recapture of investment credit, low-income housing, etc.</t>
  </si>
  <si>
    <t xml:space="preserve">TOTAL TAX  → page 1 line 31</t>
  </si>
  <si>
    <t xml:space="preserve">Verified against a filed 2024 return</t>
  </si>
  <si>
    <t xml:space="preserve">PAYMENTS AND REFUNDABLE CREDITS</t>
  </si>
  <si>
    <t xml:space="preserve">Overpayment credited from last year</t>
  </si>
  <si>
    <t xml:space="preserve">Tab 0</t>
  </si>
  <si>
    <t xml:space="preserve">Estimated tax payments made during the year</t>
  </si>
  <si>
    <t xml:space="preserve">Paid with an extension  (Form 7004)</t>
  </si>
  <si>
    <t xml:space="preserve">Backup withholding and other refundable credits</t>
  </si>
  <si>
    <t xml:space="preserve">TOTAL PAYMENTS AND CREDITS  → page 1 line 33</t>
  </si>
  <si>
    <t xml:space="preserve">⚠ Only lines 2, 12 and 23 were verified against a real filed 1120. The intermediate numbering on Schedule J moves — open the current-year form before entering anything in the middle block, and correct this sheet if it has changed.</t>
  </si>
  <si>
    <t xml:space="preserve">7 · Schedule K — the questions</t>
  </si>
  <si>
    <t xml:space="preserve">Answers change what else the return must carry. Line numbers last verified against the 2024 forms · 2026-09-09. Re-verify on irs.gov before entering anything.</t>
  </si>
  <si>
    <t xml:space="preserve">THE ONES THAT CHANGE THE RETURN</t>
  </si>
  <si>
    <t xml:space="preserve">Question</t>
  </si>
  <si>
    <t xml:space="preserve">Answer</t>
  </si>
  <si>
    <t xml:space="preserve">If this is the answer…</t>
  </si>
  <si>
    <t xml:space="preserve">Accounting method — cash, accrual, or other</t>
  </si>
  <si>
    <t xml:space="preserve">Must match the books AND the prior return. A change needs Form 3115</t>
  </si>
  <si>
    <t xml:space="preserve">Business activity code number</t>
  </si>
  <si>
    <t xml:space="preserve">Six digits, from the Form 1120 instructions. Must match what the company actually does</t>
  </si>
  <si>
    <t xml:space="preserve">Business activity / product or service</t>
  </si>
  <si>
    <t xml:space="preserve">Plain words, in ENGLISH, exactly as it should print</t>
  </si>
  <si>
    <t xml:space="preserve">Is the corporation a subsidiary in an affiliated group or a parent-subsidiary controlled group?</t>
  </si>
  <si>
    <t xml:space="preserve">Yes → name the parent and its EIN</t>
  </si>
  <si>
    <t xml:space="preserve">Did any individual or estate own 20% or more of the voting stock, directly or indirectly?</t>
  </si>
  <si>
    <t xml:space="preserve">Yes → Schedule G (Form 1120) is required</t>
  </si>
  <si>
    <t xml:space="preserve">Did any entity own 20% or more of the voting stock?</t>
  </si>
  <si>
    <t xml:space="preserve">Yes → Schedule G</t>
  </si>
  <si>
    <t xml:space="preserve">Did the corporation own 20% or more of any foreign or domestic corporation?</t>
  </si>
  <si>
    <t xml:space="preserve">Yes → the ownership schedule</t>
  </si>
  <si>
    <t xml:space="preserve">At any time during the year, did the corporation have an interest in or authority over a FOREIGN financial account?</t>
  </si>
  <si>
    <t xml:space="preserve">Yes → FinCEN Form 114 (FBAR) is due separately, and it is NOT part of the return</t>
  </si>
  <si>
    <t xml:space="preserve">Was the corporation the grantor of, or transferor to, a foreign trust?</t>
  </si>
  <si>
    <t xml:space="preserve">Yes → Form 3520</t>
  </si>
  <si>
    <t xml:space="preserve">Did the corporation receive a distribution from, or was it the owner of, a foreign entity?</t>
  </si>
  <si>
    <t xml:space="preserve">Yes → Form 5471 / 8865 / 8858 as applicable</t>
  </si>
  <si>
    <t xml:space="preserve">Total receipts AND total assets both under $250,000?</t>
  </si>
  <si>
    <t xml:space="preserve">Yes → Schedules L, M-1 and M-2 are not required (tab 0 computes this)</t>
  </si>
  <si>
    <t xml:space="preserve">Did the corporation make any payments requiring Form 1099?</t>
  </si>
  <si>
    <t xml:space="preserve">Yes → and were they filed? Both boxes get answered</t>
  </si>
  <si>
    <t xml:space="preserve">Did the corporation have an NOL and is it forgoing the carryback?</t>
  </si>
  <si>
    <t xml:space="preserve">An election, and it has to be attached</t>
  </si>
  <si>
    <t xml:space="preserve">Is the corporation a shareholder in a PFIC?</t>
  </si>
  <si>
    <t xml:space="preserve">Yes → Form 8621</t>
  </si>
  <si>
    <t xml:space="preserve">Did the corporation dispose of an interest in a qualified opportunity fund?</t>
  </si>
  <si>
    <t xml:space="preserve">Yes → Form 8949 and the Schedule D question</t>
  </si>
  <si>
    <t xml:space="preserve">This is a working checklist of the questions that change what else the return carries — not the whole of Schedule K. Answer every question on the form itself.</t>
  </si>
  <si>
    <t xml:space="preserve">8 · Schedule L — balance sheet per books</t>
  </si>
  <si>
    <t xml:space="preserve">🔑 The BEGINNING column is copied from last year's FILED return — never recalculated. Line numbers last verified against the 2024 forms · 2026-09-09. Re-verify on irs.gov before entering anything.</t>
  </si>
  <si>
    <t xml:space="preserve">ASSETS</t>
  </si>
  <si>
    <t xml:space="preserve">Beginning of year</t>
  </si>
  <si>
    <t xml:space="preserve">End of year</t>
  </si>
  <si>
    <t xml:space="preserve">Cash</t>
  </si>
  <si>
    <t xml:space="preserve">⚠ CASH ONLY. A brokerage portfolio typed as a Bank account in QuickBooks lands here by default — it belongs on line 9</t>
  </si>
  <si>
    <t xml:space="preserve">2a</t>
  </si>
  <si>
    <t xml:space="preserve">Trade notes and accounts receivable</t>
  </si>
  <si>
    <t xml:space="preserve">2b</t>
  </si>
  <si>
    <t xml:space="preserve">Less allowance for bad debts</t>
  </si>
  <si>
    <t xml:space="preserve">Enter POSITIVE; it is subtracted below</t>
  </si>
  <si>
    <t xml:space="preserve">Inventories</t>
  </si>
  <si>
    <t xml:space="preserve">U.S. government obligations</t>
  </si>
  <si>
    <t xml:space="preserve">Tax-exempt securities</t>
  </si>
  <si>
    <t xml:space="preserve">Other current assets  (attach statement)</t>
  </si>
  <si>
    <t xml:space="preserve">Loans to shareholders</t>
  </si>
  <si>
    <t xml:space="preserve">A real balance here invites a below-market-interest question (§7872)</t>
  </si>
  <si>
    <t xml:space="preserve">Mortgage and real estate loans</t>
  </si>
  <si>
    <t xml:space="preserve">Other investments  (attach statement)</t>
  </si>
  <si>
    <t xml:space="preserve">🔴 THE BROKERAGE PORTFOLIO BELONGS HERE. Tab 5's ending value. No tax effect — but showing seven figures of equities as Cash misstates the balance sheet a lender reads</t>
  </si>
  <si>
    <t xml:space="preserve">10a</t>
  </si>
  <si>
    <t xml:space="preserve">Buildings and other depreciable assets</t>
  </si>
  <si>
    <t xml:space="preserve">10b</t>
  </si>
  <si>
    <t xml:space="preserve">Less accumulated depreciation</t>
  </si>
  <si>
    <t xml:space="preserve">Enter POSITIVE</t>
  </si>
  <si>
    <t xml:space="preserve">11a</t>
  </si>
  <si>
    <t xml:space="preserve">Depletable assets</t>
  </si>
  <si>
    <t xml:space="preserve">11b</t>
  </si>
  <si>
    <t xml:space="preserve">Less accumulated depletion</t>
  </si>
  <si>
    <t xml:space="preserve">Land</t>
  </si>
  <si>
    <t xml:space="preserve">13a</t>
  </si>
  <si>
    <t xml:space="preserve">Intangible assets (amortizable only)</t>
  </si>
  <si>
    <t xml:space="preserve">13b</t>
  </si>
  <si>
    <t xml:space="preserve">Less accumulated amortization</t>
  </si>
  <si>
    <t xml:space="preserve">Other assets  (attach statement)</t>
  </si>
  <si>
    <t xml:space="preserve">TOTAL ASSETS</t>
  </si>
  <si>
    <t xml:space="preserve">LIABILITIES AND SHAREHOLDERS' EQUITY</t>
  </si>
  <si>
    <t xml:space="preserve">Accounts payable</t>
  </si>
  <si>
    <t xml:space="preserve">Mortgages, notes, bonds payable in less than 1 year</t>
  </si>
  <si>
    <t xml:space="preserve">Other current liabilities  (attach statement)</t>
  </si>
  <si>
    <t xml:space="preserve">Loans from shareholders</t>
  </si>
  <si>
    <t xml:space="preserve">Mortgages, notes, bonds payable in 1 year or more</t>
  </si>
  <si>
    <t xml:space="preserve">Other liabilities  (attach statement)</t>
  </si>
  <si>
    <t xml:space="preserve">22a</t>
  </si>
  <si>
    <t xml:space="preserve">Capital stock — preferred</t>
  </si>
  <si>
    <t xml:space="preserve">22b</t>
  </si>
  <si>
    <t xml:space="preserve">Capital stock — common</t>
  </si>
  <si>
    <t xml:space="preserve">Additional paid-in capital</t>
  </si>
  <si>
    <t xml:space="preserve">Retained earnings — appropriated</t>
  </si>
  <si>
    <t xml:space="preserve">Retained earnings — unappropriated</t>
  </si>
  <si>
    <t xml:space="preserve">Beginning = last year's FILED return (tab 0).  Ending = Schedule M-2 line 8 (tab 10). Where the filed return and QuickBooks disagree, the RETURN governs — and the difference is written into the working paper so nobody re-derives it next year.</t>
  </si>
  <si>
    <t xml:space="preserve">Adjustments to shareholders' equity</t>
  </si>
  <si>
    <t xml:space="preserve">Less cost of treasury stock</t>
  </si>
  <si>
    <t xml:space="preserve">TOTAL LIABILITIES AND EQUITY</t>
  </si>
  <si>
    <t xml:space="preserve">Does the balance sheet BALANCE?</t>
  </si>
  <si>
    <t xml:space="preserve">Both columns. A beginning column that does not balance means it was not copied from the filed return.</t>
  </si>
  <si>
    <t xml:space="preserve">Beginning total assets vs last year's FILED return  (tab 0)</t>
  </si>
  <si>
    <t xml:space="preserve">9 · Schedule M-1 — book income to taxable income</t>
  </si>
  <si>
    <t xml:space="preserve">🛑 The unrealized figure's LINE depends on its SIGN, and the sign flips between years. This tab decides it for you.</t>
  </si>
  <si>
    <t xml:space="preserve">THE SIGN TRAP — enter ONE signed figure and let the sheet place it</t>
  </si>
  <si>
    <t xml:space="preserve">A book unrealized LOSS belongs on line 5; a book unrealized GAIN on line 7. A preparer copying last year's placement produces a return that balances internally and is wrong. Enter the figure once, signed, and do not place it by hand.</t>
  </si>
  <si>
    <t xml:space="preserve">Unrealized gain / (loss) for the year  (tab 5)</t>
  </si>
  <si>
    <t xml:space="preserve">A GAIN is positive, a LOSS negative. Tab 5 signs it correctly.</t>
  </si>
  <si>
    <t xml:space="preserve">→ it belongs on</t>
  </si>
  <si>
    <t xml:space="preserve">SCHEDULE M-1</t>
  </si>
  <si>
    <t xml:space="preserve">Net income (loss) per books</t>
  </si>
  <si>
    <t xml:space="preserve">AFTER federal income tax. The whole company's book net income, not just the investment part</t>
  </si>
  <si>
    <t xml:space="preserve">Federal income tax per books</t>
  </si>
  <si>
    <t xml:space="preserve">Trial balance · FED_TAX</t>
  </si>
  <si>
    <t xml:space="preserve">Excess of capital losses over capital gains</t>
  </si>
  <si>
    <t xml:space="preserve">Tab 4 — the non-deductible capital loss, added back</t>
  </si>
  <si>
    <t xml:space="preserve">Income subject to tax not recorded on books</t>
  </si>
  <si>
    <t xml:space="preserve">Rare</t>
  </si>
  <si>
    <t xml:space="preserve">Expenses on books not deducted on this return:</t>
  </si>
  <si>
    <t xml:space="preserve">   Depreciation</t>
  </si>
  <si>
    <t xml:space="preserve">   Charitable contributions over the 10% limit</t>
  </si>
  <si>
    <t xml:space="preserve">Tab 2 — the limit block</t>
  </si>
  <si>
    <t xml:space="preserve">   Travel and entertainment — the non-deductible half</t>
  </si>
  <si>
    <t xml:space="preserve">Meals are 50% disallowed; entertainment entirely</t>
  </si>
  <si>
    <t xml:space="preserve">   UNREALIZED LOSS on investments</t>
  </si>
  <si>
    <t xml:space="preserve">🛑 Populates ONLY when the year's unrealized movement is a LOSS</t>
  </si>
  <si>
    <t xml:space="preserve">   Other — itemize</t>
  </si>
  <si>
    <t xml:space="preserve">Total of line 5</t>
  </si>
  <si>
    <t xml:space="preserve">Add lines 1 through 5</t>
  </si>
  <si>
    <t xml:space="preserve">Income on books not included on this return:</t>
  </si>
  <si>
    <t xml:space="preserve">7a</t>
  </si>
  <si>
    <t xml:space="preserve">   Tax-exempt interest</t>
  </si>
  <si>
    <t xml:space="preserve">7b</t>
  </si>
  <si>
    <t xml:space="preserve">   UNREALIZED GAIN on investments</t>
  </si>
  <si>
    <t xml:space="preserve">🛑 Populates ONLY when the year's unrealized movement is a GAIN</t>
  </si>
  <si>
    <t xml:space="preserve">7c</t>
  </si>
  <si>
    <t xml:space="preserve">   Dividend income on books not on this return</t>
  </si>
  <si>
    <t xml:space="preserve">Tab 5 — book dividends less 1099 box 1a and box 2a. The books follow the statement, the return follows the 1099; the gap belongs HERE, not in a journal entry</t>
  </si>
  <si>
    <t xml:space="preserve">7d</t>
  </si>
  <si>
    <t xml:space="preserve">Total of line 7</t>
  </si>
  <si>
    <t xml:space="preserve">Deductions on this return not charged against book income</t>
  </si>
  <si>
    <t xml:space="preserve">Add lines 7 and 8</t>
  </si>
  <si>
    <t xml:space="preserve">Income — line 6 less line 9</t>
  </si>
  <si>
    <t xml:space="preserve">MUST equal page 1 line 28.</t>
  </si>
  <si>
    <t xml:space="preserve">Page 1 line 28</t>
  </si>
  <si>
    <t xml:space="preserve">A CHECK here means one of the three investment items has the wrong sign.</t>
  </si>
  <si>
    <t xml:space="preserve">10 · Schedule M-2 — unappropriated retained earnings</t>
  </si>
  <si>
    <t xml:space="preserve">Ties Schedule L line 25 from one year to the next.  Line numbers last verified against the 2024 forms · 2026-09-09. Re-verify on irs.gov before entering anything.</t>
  </si>
  <si>
    <t xml:space="preserve">Balance at beginning of year</t>
  </si>
  <si>
    <t xml:space="preserve">from tab 0</t>
  </si>
  <si>
    <t xml:space="preserve">🔑 Last year's FILED return, Schedule L line 25 ending column — NOT QuickBooks.</t>
  </si>
  <si>
    <t xml:space="preserve">from tab 9</t>
  </si>
  <si>
    <t xml:space="preserve">Same figure as Schedule M-1 line 1. If they differ, one of them is wrong.</t>
  </si>
  <si>
    <t xml:space="preserve">Other increases — itemize</t>
  </si>
  <si>
    <t xml:space="preserve">Needs a statement.</t>
  </si>
  <si>
    <t xml:space="preserve">Add lines 1, 2 and 3</t>
  </si>
  <si>
    <t xml:space="preserve">Distributions — cash</t>
  </si>
  <si>
    <t xml:space="preserve">A C-corporation's distribution is a DIVIDEND to the shareholder to the extent of earnings and profits — and it needs a Form 1099-DIV. Enter POSITIVE.</t>
  </si>
  <si>
    <t xml:space="preserve">Distributions — stock</t>
  </si>
  <si>
    <t xml:space="preserve">Enter POSITIVE.</t>
  </si>
  <si>
    <t xml:space="preserve">Distributions — property</t>
  </si>
  <si>
    <t xml:space="preserve">Other decreases — itemize</t>
  </si>
  <si>
    <t xml:space="preserve">Needs a statement. A separate 'Dividends Paid' equity account in QuickBooks usually lands here — which is why book retained earnings and the return's can legitimately differ.</t>
  </si>
  <si>
    <t xml:space="preserve">Add lines 5 and 6</t>
  </si>
  <si>
    <t xml:space="preserve">BALANCE AT END OF YEAR  → Schedule L line 25</t>
  </si>
  <si>
    <t xml:space="preserve">Tab 8 pulls this automatically.</t>
  </si>
  <si>
    <t xml:space="preserve">Retained earnings per QuickBooks at year end, for comparison</t>
  </si>
  <si>
    <t xml:space="preserve">They need not agree. When they do not, say WHY in the working paper — next year's beginning column is copied from this return, not from the books.</t>
  </si>
  <si>
    <t xml:space="preserve">Difference</t>
  </si>
  <si>
    <t xml:space="preserve">11 · Tie-outs — every one must pass</t>
  </si>
  <si>
    <t xml:space="preserve">🛑 Never file with a CHECK showing. A failed tie is a mapping error, not a rounding one.</t>
  </si>
  <si>
    <t xml:space="preserve">This</t>
  </si>
  <si>
    <t xml:space="preserve">must equal this</t>
  </si>
  <si>
    <t xml:space="preserve">Result</t>
  </si>
  <si>
    <t xml:space="preserve">If it fails</t>
  </si>
  <si>
    <t xml:space="preserve">Schedule M-1 line 10 = page 1 line 28</t>
  </si>
  <si>
    <t xml:space="preserve">One of the M-1 items has the wrong sign — start with the unrealized figure.</t>
  </si>
  <si>
    <t xml:space="preserve">Schedule M-1 line 1 = Schedule M-2 line 2</t>
  </si>
  <si>
    <t xml:space="preserve">Both are 'net income per books'. They cannot differ.</t>
  </si>
  <si>
    <t xml:space="preserve">Schedule M-2 line 8 = Schedule L line 25, ending</t>
  </si>
  <si>
    <t xml:space="preserve">Tab 8 pulls this; a break means someone overtyped it.</t>
  </si>
  <si>
    <t xml:space="preserve">Schedule L balances — ENDING column</t>
  </si>
  <si>
    <t xml:space="preserve">Assets ≠ liabilities + equity. Usually a missing account or a sign.</t>
  </si>
  <si>
    <t xml:space="preserve">Schedule L balances — BEGINNING column</t>
  </si>
  <si>
    <t xml:space="preserve">The beginning column was not copied from last year's filed return.</t>
  </si>
  <si>
    <t xml:space="preserve">Schedule L beginning assets = last year's filed return</t>
  </si>
  <si>
    <t xml:space="preserve">Copy the filed return's ending column. Do not recalculate it from the books.</t>
  </si>
  <si>
    <t xml:space="preserve">Page 1 line 4 = Schedule C line 23</t>
  </si>
  <si>
    <t xml:space="preserve">Tab 2 pulls this automatically.</t>
  </si>
  <si>
    <t xml:space="preserve">Page 1 line 29b = Schedule C line 24</t>
  </si>
  <si>
    <t xml:space="preserve">Page 1 line 8 = Schedule D Part III line 18</t>
  </si>
  <si>
    <t xml:space="preserve">A net capital LOSS must arrive as zero — never as a negative.</t>
  </si>
  <si>
    <t xml:space="preserve">Page 1 line 31 = Schedule J total tax</t>
  </si>
  <si>
    <t xml:space="preserve">Tab 2 pulls this.</t>
  </si>
  <si>
    <t xml:space="preserve">Brokerage roll-forward = the statement's ending value</t>
  </si>
  <si>
    <t xml:space="preserve">The five ties on tab 5 have not all passed. Fix the books before the split is used.</t>
  </si>
  <si>
    <t xml:space="preserve">Brokerage ending value = Schedule L line 9 (other investments)</t>
  </si>
  <si>
    <t xml:space="preserve">Either the portfolio is still sitting in Schedule L line 1 Cash, or line 9 was not filled in.</t>
  </si>
  <si>
    <t xml:space="preserve">THINGS NO FORMULA CAN CHECK — read them and tick</t>
  </si>
  <si>
    <t xml:space="preserve">Every row on the trial balance has a map code, and the unmapped-amount counter on tab 1 reads zero.</t>
  </si>
  <si>
    <t xml:space="preserve">Schedule C: if the client holds domestic corporate shares, the broker was ASKED about §243/§854(b) eligibility, and the answer — whatever it was — is written down.</t>
  </si>
  <si>
    <t xml:space="preserve">Schedule C: where a DRD is being claimed, the §246(c) holding period was tested against the actual purchase dates, not assumed.</t>
  </si>
  <si>
    <t xml:space="preserve">The capital-loss pool on tab 4 has been carried to tab 12. Nothing on the filed return records it.</t>
  </si>
  <si>
    <t xml:space="preserve">Every 'attach statement' line with an amount actually HAS its statement drafted — Page 1 lines 10 and 26, Schedule L lines 6, 9, 14, 18, 21, and Schedule M-2 lines 3 and 6.</t>
  </si>
  <si>
    <t xml:space="preserve">No CORRECTED Form 1099 has arrived since the figures were taken.</t>
  </si>
  <si>
    <t xml:space="preserve">The accounting method on Schedule K matches both the books and the prior return.</t>
  </si>
  <si>
    <t xml:space="preserve">Every figure that changes the return was read off the CURRENT-year form on irs.gov, not from this workbook's line numbers.</t>
  </si>
  <si>
    <t xml:space="preserve">The working paper in projects/tax-returns/ has been written, with each decision, who made it, and the alternative not taken.</t>
  </si>
  <si>
    <t xml:space="preserve">12 · What next year needs from this year</t>
  </si>
  <si>
    <t xml:space="preserve">Fill this in BEFORE you close the file. Several of these appear nowhere on the filed return.</t>
  </si>
  <si>
    <t xml:space="preserve">Next year's preparer copies this block into tab 0 of a fresh workbook. Every line here is expensive to reconstruct and three of them cannot be reconstructed from the return at all.</t>
  </si>
  <si>
    <t xml:space="preserve">Item</t>
  </si>
  <si>
    <t xml:space="preserve">Amount / answer</t>
  </si>
  <si>
    <t xml:space="preserve">On the return?</t>
  </si>
  <si>
    <t xml:space="preserve">Why it matters</t>
  </si>
  <si>
    <t xml:space="preserve">Retained earnings at year end, PER THIS RETURN</t>
  </si>
  <si>
    <t xml:space="preserve">yes</t>
  </si>
  <si>
    <t xml:space="preserve">Schedule M-2 line 8. Becomes next year's M-2 line 1 and Schedule L beginning — never recalculated from the books</t>
  </si>
  <si>
    <t xml:space="preserve">Total assets at year end, PER THIS RETURN</t>
  </si>
  <si>
    <t xml:space="preserve">Becomes next year's Schedule L beginning column</t>
  </si>
  <si>
    <t xml:space="preserve">CAPITAL-LOSS POOL carried forward</t>
  </si>
  <si>
    <t xml:space="preserve">NO</t>
  </si>
  <si>
    <t xml:space="preserve">🛑 Schedule D's carryover line is BLANK in a year with no gains. This workbook is the only record. Back 3 years, forward 5; short-term when used</t>
  </si>
  <si>
    <t xml:space="preserve">Earliest year in that pool</t>
  </si>
  <si>
    <t xml:space="preserve">Drives the 5-year expiry</t>
  </si>
  <si>
    <t xml:space="preserve">NOL carryforward remaining</t>
  </si>
  <si>
    <t xml:space="preserve">Post-2017 losses carry forward indefinitely but are capped at 80% of taxable income</t>
  </si>
  <si>
    <t xml:space="preserve">Charitable contributions carried forward</t>
  </si>
  <si>
    <t xml:space="preserve">5 years. The return shows the deduction taken, not the carryforward</t>
  </si>
  <si>
    <t xml:space="preserve">Cumulative unrealized gain/(loss) on investments</t>
  </si>
  <si>
    <t xml:space="preserve">Next year's cross-check needs it. Nothing on the return carries it</t>
  </si>
  <si>
    <t xml:space="preserve">   of which short-term</t>
  </si>
  <si>
    <t xml:space="preserve">   of which long-term</t>
  </si>
  <si>
    <t xml:space="preserve">TAX COST BASIS of the portfolio</t>
  </si>
  <si>
    <t xml:space="preserve">Book carrying value less cumulative unrealized — the figure that reconciles the balance sheet to the tax basis</t>
  </si>
  <si>
    <t xml:space="preserve">Cumulative return of capital received</t>
  </si>
  <si>
    <t xml:space="preserve">Reduces basis; nothing else records it</t>
  </si>
  <si>
    <t xml:space="preserve">Value convention used — 'with accruals' or 'without'</t>
  </si>
  <si>
    <t xml:space="preserve">Changing it between years silently breaks the roll-forward</t>
  </si>
  <si>
    <t xml:space="preserve">The DRD answer — who was asked, when, what they said</t>
  </si>
  <si>
    <t xml:space="preserve">partly</t>
  </si>
  <si>
    <t xml:space="preserve">An untaken deduction WITH a reason is a decision; without one it is next year's repeat</t>
  </si>
  <si>
    <t xml:space="preserve">Schedule L presentation of the portfolio — Cash or Other investments</t>
  </si>
  <si>
    <t xml:space="preserve">If it moved this year, next year's beginning column follows THIS return, not the one before</t>
  </si>
  <si>
    <t xml:space="preserve">Anything on this return that the BOOKS do not carry</t>
  </si>
  <si>
    <t xml:space="preserve">So next year copies it instead of re-deriving it</t>
  </si>
  <si>
    <t xml:space="preserve">WHERE THIS ALSO HAS TO GO</t>
  </si>
  <si>
    <t xml:space="preserve">This workbook is a working file, not the firm's record. Copy the decisions, the alternatives not taken and every figure above into the client's working paper at projects/tax-returns/&lt;client&gt;/&lt;year&gt;-form-1120.md — that is the only place in the repo that holds client figures, and it is what the reviewer reads before the PDF.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</si>
</sst>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yyyy\-mm\-dd"/>
    <numFmt numFmtId="168" formatCode="\$#,##0.00;&quot;($&quot;#,##0.00\);\—"/>
    <numFmt numFmtId="169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ECE6DA"/>
      <name val="Arial"/>
      <family val="0"/>
      <charset val="1"/>
    </font>
    <font>
      <b val="true"/>
      <sz val="11"/>
      <color rgb="FF0D2A31"/>
      <name val="Arial"/>
      <family val="0"/>
      <charset val="1"/>
    </font>
    <font>
      <sz val="10"/>
      <color rgb="FF0D2A31"/>
      <name val="Arial"/>
      <family val="0"/>
      <charset val="1"/>
    </font>
    <font>
      <b val="true"/>
      <sz val="10"/>
      <color rgb="FF0D2A3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F6857"/>
      <name val="Arial"/>
      <family val="0"/>
      <charset val="1"/>
    </font>
    <font>
      <sz val="10"/>
      <name val="Arial"/>
      <family val="2"/>
    </font>
    <font>
      <b val="true"/>
      <sz val="9"/>
      <color rgb="FF0D2A31"/>
      <name val="Arial"/>
      <family val="0"/>
      <charset val="1"/>
    </font>
    <font>
      <sz val="9"/>
      <color rgb="FF6F685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3841"/>
        <bgColor rgb="FF0D2A31"/>
      </patternFill>
    </fill>
    <fill>
      <patternFill patternType="solid">
        <fgColor rgb="FFFFF2CC"/>
        <bgColor rgb="FFECE6DA"/>
      </patternFill>
    </fill>
    <fill>
      <patternFill patternType="solid">
        <fgColor rgb="FF9C6A39"/>
        <bgColor rgb="FF6F6857"/>
      </patternFill>
    </fill>
    <fill>
      <patternFill patternType="solid">
        <fgColor rgb="FFDAD4C6"/>
        <bgColor rgb="FFECE6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4C6"/>
      </left>
      <right style="thin">
        <color rgb="FFDAD4C6"/>
      </right>
      <top style="thin">
        <color rgb="FFDAD4C6"/>
      </top>
      <bottom style="thin">
        <color rgb="FFDAD4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A39"/>
      <rgbColor rgb="FF800080"/>
      <rgbColor rgb="FF008080"/>
      <rgbColor rgb="FFDAD4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6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857"/>
      <rgbColor rgb="FF969696"/>
      <rgbColor rgb="FF123841"/>
      <rgbColor rgb="FF339966"/>
      <rgbColor rgb="FF0D2A31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6" min="3" style="0" width="20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</row>
    <row r="5" customFormat="false" ht="43.5" hidden="false" customHeight="true" outlineLevel="0" collapsed="false">
      <c r="B5" s="4" t="s">
        <v>3</v>
      </c>
      <c r="C5" s="4"/>
      <c r="D5" s="4"/>
      <c r="E5" s="4"/>
      <c r="F5" s="4"/>
      <c r="G5" s="4"/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  <c r="D8" s="6"/>
      <c r="E8" s="6"/>
      <c r="F8" s="6"/>
      <c r="G8" s="6"/>
    </row>
    <row r="9" customFormat="false" ht="15" hidden="false" customHeight="false" outlineLevel="0" collapsed="false">
      <c r="B9" s="7" t="s">
        <v>7</v>
      </c>
      <c r="C9" s="8" t="s">
        <v>8</v>
      </c>
      <c r="D9" s="8"/>
      <c r="E9" s="8"/>
      <c r="F9" s="8"/>
      <c r="G9" s="8"/>
    </row>
    <row r="10" customFormat="false" ht="15" hidden="false" customHeight="false" outlineLevel="0" collapsed="false">
      <c r="B10" s="7" t="s">
        <v>9</v>
      </c>
      <c r="C10" s="9" t="s">
        <v>10</v>
      </c>
      <c r="D10" s="9"/>
      <c r="E10" s="9"/>
      <c r="F10" s="9"/>
      <c r="G10" s="9"/>
    </row>
    <row r="11" customFormat="false" ht="15" hidden="false" customHeight="false" outlineLevel="0" collapsed="false">
      <c r="B11" s="7" t="s">
        <v>11</v>
      </c>
      <c r="C11" s="10" t="s">
        <v>12</v>
      </c>
      <c r="D11" s="10"/>
      <c r="E11" s="10"/>
      <c r="F11" s="10"/>
      <c r="G11" s="10"/>
    </row>
    <row r="13" customFormat="false" ht="15" hidden="false" customHeight="false" outlineLevel="0" collapsed="false">
      <c r="B13" s="3" t="s">
        <v>13</v>
      </c>
    </row>
    <row r="14" customFormat="false" ht="37.5" hidden="false" customHeight="true" outlineLevel="0" collapsed="false">
      <c r="B14" s="7" t="s">
        <v>14</v>
      </c>
      <c r="C14" s="4" t="s">
        <v>15</v>
      </c>
      <c r="D14" s="4"/>
      <c r="E14" s="4"/>
      <c r="F14" s="4"/>
      <c r="G14" s="4"/>
    </row>
    <row r="15" customFormat="false" ht="37.5" hidden="false" customHeight="true" outlineLevel="0" collapsed="false">
      <c r="B15" s="7" t="s">
        <v>16</v>
      </c>
      <c r="C15" s="4" t="s">
        <v>17</v>
      </c>
      <c r="D15" s="4"/>
      <c r="E15" s="4"/>
      <c r="F15" s="4"/>
      <c r="G15" s="4"/>
    </row>
    <row r="16" customFormat="false" ht="37.5" hidden="false" customHeight="true" outlineLevel="0" collapsed="false">
      <c r="B16" s="7" t="s">
        <v>18</v>
      </c>
      <c r="C16" s="4" t="s">
        <v>19</v>
      </c>
      <c r="D16" s="4"/>
      <c r="E16" s="4"/>
      <c r="F16" s="4"/>
      <c r="G16" s="4"/>
    </row>
    <row r="17" customFormat="false" ht="25.5" hidden="false" customHeight="true" outlineLevel="0" collapsed="false">
      <c r="B17" s="7" t="s">
        <v>20</v>
      </c>
      <c r="C17" s="4" t="s">
        <v>21</v>
      </c>
      <c r="D17" s="4"/>
      <c r="E17" s="4"/>
      <c r="F17" s="4"/>
      <c r="G17" s="4"/>
    </row>
    <row r="18" customFormat="false" ht="25.5" hidden="false" customHeight="true" outlineLevel="0" collapsed="false">
      <c r="B18" s="7" t="s">
        <v>22</v>
      </c>
      <c r="C18" s="4" t="s">
        <v>23</v>
      </c>
      <c r="D18" s="4"/>
      <c r="E18" s="4"/>
      <c r="F18" s="4"/>
      <c r="G18" s="4"/>
    </row>
    <row r="19" customFormat="false" ht="25.5" hidden="false" customHeight="true" outlineLevel="0" collapsed="false">
      <c r="B19" s="7" t="s">
        <v>24</v>
      </c>
      <c r="C19" s="4" t="s">
        <v>25</v>
      </c>
      <c r="D19" s="4"/>
      <c r="E19" s="4"/>
      <c r="F19" s="4"/>
      <c r="G19" s="4"/>
    </row>
    <row r="20" customFormat="false" ht="25.5" hidden="false" customHeight="true" outlineLevel="0" collapsed="false">
      <c r="B20" s="7" t="s">
        <v>26</v>
      </c>
      <c r="C20" s="4" t="s">
        <v>27</v>
      </c>
      <c r="D20" s="4"/>
      <c r="E20" s="4"/>
      <c r="F20" s="4"/>
      <c r="G20" s="4"/>
    </row>
    <row r="21" customFormat="false" ht="25.5" hidden="false" customHeight="true" outlineLevel="0" collapsed="false">
      <c r="B21" s="7" t="s">
        <v>28</v>
      </c>
      <c r="C21" s="4" t="s">
        <v>29</v>
      </c>
      <c r="D21" s="4"/>
      <c r="E21" s="4"/>
      <c r="F21" s="4"/>
      <c r="G21" s="4"/>
    </row>
    <row r="22" customFormat="false" ht="25.5" hidden="false" customHeight="true" outlineLevel="0" collapsed="false">
      <c r="B22" s="7" t="s">
        <v>30</v>
      </c>
      <c r="C22" s="4" t="s">
        <v>31</v>
      </c>
      <c r="D22" s="4"/>
      <c r="E22" s="4"/>
      <c r="F22" s="4"/>
      <c r="G22" s="4"/>
    </row>
    <row r="23" customFormat="false" ht="25.5" hidden="false" customHeight="true" outlineLevel="0" collapsed="false">
      <c r="B23" s="7" t="s">
        <v>32</v>
      </c>
      <c r="C23" s="4" t="s">
        <v>33</v>
      </c>
      <c r="D23" s="4"/>
      <c r="E23" s="4"/>
      <c r="F23" s="4"/>
      <c r="G23" s="4"/>
    </row>
    <row r="25" customFormat="false" ht="18.75" hidden="false" customHeight="true" outlineLevel="0" collapsed="false">
      <c r="A25" s="11" t="s">
        <v>34</v>
      </c>
      <c r="B25" s="11"/>
      <c r="C25" s="11"/>
      <c r="D25" s="11"/>
      <c r="E25" s="11"/>
      <c r="F25" s="11"/>
      <c r="G25" s="11"/>
    </row>
    <row r="26" customFormat="false" ht="43.5" hidden="false" customHeight="true" outlineLevel="0" collapsed="false">
      <c r="B26" s="12" t="s">
        <v>35</v>
      </c>
      <c r="C26" s="4" t="s">
        <v>36</v>
      </c>
      <c r="D26" s="4"/>
      <c r="E26" s="4"/>
      <c r="F26" s="4"/>
      <c r="G26" s="4"/>
    </row>
    <row r="27" customFormat="false" ht="43.5" hidden="false" customHeight="true" outlineLevel="0" collapsed="false">
      <c r="B27" s="12" t="s">
        <v>37</v>
      </c>
      <c r="C27" s="4" t="s">
        <v>38</v>
      </c>
      <c r="D27" s="4"/>
      <c r="E27" s="4"/>
      <c r="F27" s="4"/>
      <c r="G27" s="4"/>
    </row>
    <row r="28" customFormat="false" ht="43.5" hidden="false" customHeight="true" outlineLevel="0" collapsed="false">
      <c r="B28" s="12" t="s">
        <v>39</v>
      </c>
      <c r="C28" s="4" t="s">
        <v>40</v>
      </c>
      <c r="D28" s="4"/>
      <c r="E28" s="4"/>
      <c r="F28" s="4"/>
      <c r="G28" s="4"/>
    </row>
    <row r="30" customFormat="false" ht="18.75" hidden="false" customHeight="true" outlineLevel="0" collapsed="false">
      <c r="A30" s="13" t="s">
        <v>41</v>
      </c>
      <c r="B30" s="13"/>
      <c r="C30" s="13"/>
      <c r="D30" s="13"/>
      <c r="E30" s="13"/>
      <c r="F30" s="13"/>
      <c r="G30" s="13"/>
    </row>
    <row r="31" customFormat="false" ht="15" hidden="false" customHeight="false" outlineLevel="0" collapsed="false">
      <c r="B31" s="7" t="s">
        <v>42</v>
      </c>
    </row>
    <row r="32" customFormat="false" ht="15" hidden="false" customHeight="false" outlineLevel="0" collapsed="false">
      <c r="B32" s="14" t="s">
        <v>43</v>
      </c>
      <c r="C32" s="14" t="s">
        <v>44</v>
      </c>
      <c r="D32" s="14" t="s">
        <v>45</v>
      </c>
      <c r="E32" s="15" t="s">
        <v>46</v>
      </c>
      <c r="F32" s="15"/>
      <c r="G32" s="15"/>
    </row>
    <row r="33" customFormat="false" ht="15" hidden="false" customHeight="false" outlineLevel="0" collapsed="false">
      <c r="B33" s="14" t="s">
        <v>47</v>
      </c>
      <c r="C33" s="14" t="s">
        <v>48</v>
      </c>
      <c r="D33" s="14" t="s">
        <v>49</v>
      </c>
      <c r="E33" s="15"/>
      <c r="F33" s="15"/>
      <c r="G33" s="15"/>
    </row>
    <row r="34" customFormat="false" ht="15" hidden="false" customHeight="false" outlineLevel="0" collapsed="false">
      <c r="B34" s="14" t="s">
        <v>50</v>
      </c>
      <c r="C34" s="14" t="s">
        <v>51</v>
      </c>
      <c r="D34" s="14" t="s">
        <v>52</v>
      </c>
      <c r="E34" s="15" t="s">
        <v>53</v>
      </c>
      <c r="F34" s="15"/>
      <c r="G34" s="15"/>
    </row>
    <row r="35" customFormat="false" ht="15" hidden="false" customHeight="false" outlineLevel="0" collapsed="false">
      <c r="B35" s="14" t="s">
        <v>54</v>
      </c>
      <c r="C35" s="14" t="s">
        <v>55</v>
      </c>
      <c r="D35" s="14" t="s">
        <v>56</v>
      </c>
      <c r="E35" s="15" t="s">
        <v>57</v>
      </c>
      <c r="F35" s="15"/>
      <c r="G35" s="15"/>
    </row>
    <row r="36" customFormat="false" ht="15" hidden="false" customHeight="false" outlineLevel="0" collapsed="false">
      <c r="B36" s="14" t="s">
        <v>58</v>
      </c>
      <c r="C36" s="14" t="s">
        <v>59</v>
      </c>
      <c r="D36" s="14" t="s">
        <v>60</v>
      </c>
      <c r="E36" s="15" t="s">
        <v>61</v>
      </c>
      <c r="F36" s="15"/>
      <c r="G36" s="15"/>
    </row>
    <row r="38" customFormat="false" ht="15" hidden="false" customHeight="false" outlineLevel="0" collapsed="false">
      <c r="B38" s="15" t="s">
        <v>62</v>
      </c>
      <c r="C38" s="15"/>
      <c r="D38" s="15"/>
      <c r="E38" s="15"/>
      <c r="F38" s="15"/>
      <c r="G38" s="15"/>
    </row>
    <row r="40" customFormat="false" ht="15" hidden="false" customHeight="false" outlineLevel="0" collapsed="false">
      <c r="B40" s="3" t="s">
        <v>63</v>
      </c>
    </row>
    <row r="41" customFormat="false" ht="30" hidden="false" customHeight="true" outlineLevel="0" collapsed="false">
      <c r="B41" s="16" t="s">
        <v>64</v>
      </c>
      <c r="C41" s="16"/>
      <c r="D41" s="16"/>
      <c r="E41" s="16"/>
      <c r="F41" s="16"/>
      <c r="G41" s="16"/>
    </row>
    <row r="42" customFormat="false" ht="27.75" hidden="false" customHeight="true" outlineLevel="0" collapsed="false">
      <c r="B42" s="17" t="s">
        <v>65</v>
      </c>
      <c r="C42" s="17"/>
      <c r="D42" s="17"/>
      <c r="E42" s="17"/>
      <c r="F42" s="17"/>
      <c r="G42" s="17"/>
    </row>
    <row r="43" customFormat="false" ht="15" hidden="false" customHeight="false" outlineLevel="0" collapsed="false">
      <c r="B43" s="15" t="s">
        <v>66</v>
      </c>
      <c r="C43" s="15"/>
      <c r="D43" s="15"/>
      <c r="E43" s="15"/>
      <c r="F43" s="15"/>
      <c r="G43" s="15"/>
    </row>
  </sheetData>
  <mergeCells count="31">
    <mergeCell ref="A1:G1"/>
    <mergeCell ref="A2:G2"/>
    <mergeCell ref="B5:G5"/>
    <mergeCell ref="C8:G8"/>
    <mergeCell ref="C9:G9"/>
    <mergeCell ref="C10:G10"/>
    <mergeCell ref="C11:G11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25:G25"/>
    <mergeCell ref="C26:G26"/>
    <mergeCell ref="C27:G27"/>
    <mergeCell ref="C28:G28"/>
    <mergeCell ref="A30:G30"/>
    <mergeCell ref="E32:G32"/>
    <mergeCell ref="E33:G33"/>
    <mergeCell ref="E34:G34"/>
    <mergeCell ref="E35:G35"/>
    <mergeCell ref="E36:G36"/>
    <mergeCell ref="B38:G38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67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68</v>
      </c>
      <c r="B2" s="2"/>
      <c r="C2" s="2"/>
      <c r="D2" s="2"/>
      <c r="E2" s="2"/>
    </row>
    <row r="4" customFormat="false" ht="18.75" hidden="false" customHeight="true" outlineLevel="0" collapsed="false">
      <c r="A4" s="11" t="s">
        <v>69</v>
      </c>
      <c r="B4" s="11"/>
      <c r="C4" s="11"/>
      <c r="D4" s="11"/>
      <c r="E4" s="11"/>
    </row>
    <row r="5" customFormat="false" ht="15" hidden="false" customHeight="false" outlineLevel="0" collapsed="false">
      <c r="B5" s="18" t="s">
        <v>70</v>
      </c>
      <c r="C5" s="19"/>
    </row>
    <row r="6" customFormat="false" ht="15" hidden="false" customHeight="false" outlineLevel="0" collapsed="false">
      <c r="B6" s="18" t="s">
        <v>71</v>
      </c>
      <c r="C6" s="19"/>
    </row>
    <row r="7" customFormat="false" ht="15" hidden="false" customHeight="false" outlineLevel="0" collapsed="false">
      <c r="B7" s="18" t="s">
        <v>72</v>
      </c>
      <c r="C7" s="20"/>
    </row>
    <row r="8" customFormat="false" ht="15" hidden="false" customHeight="false" outlineLevel="0" collapsed="false">
      <c r="B8" s="18" t="s">
        <v>73</v>
      </c>
      <c r="C8" s="21"/>
    </row>
    <row r="9" customFormat="false" ht="15" hidden="false" customHeight="false" outlineLevel="0" collapsed="false">
      <c r="B9" s="18" t="s">
        <v>74</v>
      </c>
      <c r="C9" s="19"/>
    </row>
    <row r="10" customFormat="false" ht="15" hidden="false" customHeight="false" outlineLevel="0" collapsed="false">
      <c r="B10" s="18" t="s">
        <v>75</v>
      </c>
      <c r="C10" s="19"/>
    </row>
    <row r="11" customFormat="false" ht="15" hidden="false" customHeight="false" outlineLevel="0" collapsed="false">
      <c r="B11" s="18" t="s">
        <v>76</v>
      </c>
      <c r="C11" s="21"/>
    </row>
    <row r="12" customFormat="false" ht="15" hidden="false" customHeight="false" outlineLevel="0" collapsed="false">
      <c r="B12" s="18" t="s">
        <v>77</v>
      </c>
      <c r="C12" s="19"/>
    </row>
    <row r="14" customFormat="false" ht="18.75" hidden="false" customHeight="true" outlineLevel="0" collapsed="false">
      <c r="A14" s="11" t="s">
        <v>78</v>
      </c>
      <c r="B14" s="11"/>
      <c r="C14" s="11"/>
      <c r="D14" s="11"/>
      <c r="E14" s="11"/>
    </row>
    <row r="15" customFormat="false" ht="15" hidden="false" customHeight="false" outlineLevel="0" collapsed="false">
      <c r="B15" s="18" t="s">
        <v>79</v>
      </c>
      <c r="C15" s="22" t="n">
        <f aca="false">'8-SchL'!$E$24</f>
        <v>0</v>
      </c>
    </row>
    <row r="16" customFormat="false" ht="15" hidden="false" customHeight="false" outlineLevel="0" collapsed="false">
      <c r="B16" s="18" t="s">
        <v>80</v>
      </c>
      <c r="C16" s="22" t="n">
        <f aca="false">'2-Page1'!$D$8+SUM('2-Page1'!$D$11:$D$17)</f>
        <v>0</v>
      </c>
    </row>
    <row r="17" customFormat="false" ht="30" hidden="false" customHeight="true" outlineLevel="0" collapsed="false">
      <c r="B17" s="7" t="s">
        <v>81</v>
      </c>
      <c r="C17" s="23" t="str">
        <f aca="false">IF(AND(N('0-Client'!$C$15)&lt;250000,N('0-Client'!$C$16)&lt;250000),"NOT required","REQUIRED")</f>
        <v>NOT required</v>
      </c>
      <c r="E17" s="24" t="s">
        <v>82</v>
      </c>
    </row>
    <row r="18" customFormat="false" ht="22.35" hidden="false" customHeight="false" outlineLevel="0" collapsed="false">
      <c r="B18" s="7" t="s">
        <v>83</v>
      </c>
      <c r="C18" s="23" t="str">
        <f aca="false">IF(N('0-Client'!$C$15)&gt;=10000000,"M-3 REQUIRED","M-1")</f>
        <v>M-1</v>
      </c>
      <c r="E18" s="24" t="s">
        <v>84</v>
      </c>
    </row>
    <row r="20" customFormat="false" ht="18.75" hidden="false" customHeight="true" outlineLevel="0" collapsed="false">
      <c r="A20" s="11" t="s">
        <v>85</v>
      </c>
      <c r="B20" s="11"/>
      <c r="C20" s="11"/>
      <c r="D20" s="11"/>
      <c r="E20" s="11"/>
    </row>
    <row r="21" customFormat="false" ht="27.75" hidden="false" customHeight="true" outlineLevel="0" collapsed="false">
      <c r="B21" s="17" t="s">
        <v>86</v>
      </c>
      <c r="C21" s="17"/>
      <c r="D21" s="17"/>
      <c r="E21" s="17"/>
    </row>
    <row r="22" customFormat="false" ht="15" hidden="false" customHeight="false" outlineLevel="0" collapsed="false">
      <c r="B22" s="18" t="s">
        <v>87</v>
      </c>
      <c r="C22" s="25"/>
    </row>
    <row r="23" customFormat="false" ht="15" hidden="false" customHeight="false" outlineLevel="0" collapsed="false">
      <c r="B23" s="18" t="s">
        <v>88</v>
      </c>
      <c r="C23" s="20"/>
    </row>
    <row r="24" customFormat="false" ht="15" hidden="false" customHeight="false" outlineLevel="0" collapsed="false">
      <c r="B24" s="18" t="s">
        <v>89</v>
      </c>
      <c r="C24" s="25"/>
    </row>
    <row r="25" customFormat="false" ht="15" hidden="false" customHeight="false" outlineLevel="0" collapsed="false">
      <c r="B25" s="18" t="s">
        <v>90</v>
      </c>
      <c r="C25" s="25"/>
    </row>
    <row r="26" customFormat="false" ht="15" hidden="false" customHeight="false" outlineLevel="0" collapsed="false">
      <c r="B26" s="18" t="s">
        <v>91</v>
      </c>
      <c r="C26" s="25"/>
    </row>
    <row r="27" customFormat="false" ht="15" hidden="false" customHeight="false" outlineLevel="0" collapsed="false">
      <c r="B27" s="18" t="s">
        <v>92</v>
      </c>
      <c r="C27" s="25"/>
    </row>
    <row r="28" customFormat="false" ht="15" hidden="false" customHeight="false" outlineLevel="0" collapsed="false">
      <c r="B28" s="18" t="s">
        <v>93</v>
      </c>
      <c r="C28" s="25"/>
    </row>
    <row r="29" customFormat="false" ht="15" hidden="false" customHeight="false" outlineLevel="0" collapsed="false">
      <c r="B29" s="18" t="s">
        <v>94</v>
      </c>
      <c r="C29" s="25"/>
    </row>
    <row r="31" customFormat="false" ht="18.75" hidden="false" customHeight="true" outlineLevel="0" collapsed="false">
      <c r="A31" s="13" t="s">
        <v>95</v>
      </c>
      <c r="B31" s="13"/>
      <c r="C31" s="13"/>
      <c r="D31" s="13"/>
      <c r="E31" s="13"/>
    </row>
    <row r="32" customFormat="false" ht="30" hidden="false" customHeight="true" outlineLevel="0" collapsed="false">
      <c r="B32" s="16" t="s">
        <v>96</v>
      </c>
      <c r="C32" s="16"/>
      <c r="D32" s="16"/>
      <c r="E32" s="16"/>
    </row>
  </sheetData>
  <mergeCells count="8">
    <mergeCell ref="A1:E1"/>
    <mergeCell ref="A2:E2"/>
    <mergeCell ref="A4:E4"/>
    <mergeCell ref="A14:E14"/>
    <mergeCell ref="A20:E20"/>
    <mergeCell ref="B21:E21"/>
    <mergeCell ref="A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44"/>
  </cols>
  <sheetData>
    <row r="1" customFormat="false" ht="30" hidden="false" customHeight="true" outlineLevel="0" collapsed="false">
      <c r="A1" s="1" t="s">
        <v>97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98</v>
      </c>
      <c r="B2" s="2"/>
      <c r="C2" s="2"/>
      <c r="D2" s="2"/>
      <c r="E2" s="2"/>
    </row>
    <row r="4" customFormat="false" ht="18.75" hidden="false" customHeight="true" outlineLevel="0" collapsed="false">
      <c r="A4" s="11" t="s">
        <v>99</v>
      </c>
      <c r="B4" s="11"/>
      <c r="C4" s="11"/>
      <c r="D4" s="11"/>
      <c r="E4" s="11"/>
    </row>
    <row r="5" customFormat="false" ht="15" hidden="false" customHeight="false" outlineLevel="0" collapsed="false">
      <c r="B5" s="3" t="s">
        <v>100</v>
      </c>
      <c r="C5" s="26" t="s">
        <v>101</v>
      </c>
      <c r="D5" s="26"/>
      <c r="E5" s="26"/>
    </row>
    <row r="6" customFormat="false" ht="15" hidden="false" customHeight="false" outlineLevel="0" collapsed="false">
      <c r="B6" s="27" t="s">
        <v>49</v>
      </c>
      <c r="C6" s="15" t="s">
        <v>102</v>
      </c>
      <c r="D6" s="15"/>
      <c r="E6" s="15"/>
    </row>
    <row r="7" customFormat="false" ht="15" hidden="false" customHeight="false" outlineLevel="0" collapsed="false">
      <c r="B7" s="27" t="s">
        <v>103</v>
      </c>
      <c r="C7" s="15" t="s">
        <v>104</v>
      </c>
      <c r="D7" s="15"/>
      <c r="E7" s="15"/>
    </row>
    <row r="8" customFormat="false" ht="15" hidden="false" customHeight="false" outlineLevel="0" collapsed="false">
      <c r="B8" s="27" t="s">
        <v>105</v>
      </c>
      <c r="C8" s="15" t="s">
        <v>106</v>
      </c>
      <c r="D8" s="15"/>
      <c r="E8" s="15"/>
    </row>
    <row r="9" customFormat="false" ht="15" hidden="false" customHeight="false" outlineLevel="0" collapsed="false">
      <c r="B9" s="27" t="s">
        <v>52</v>
      </c>
      <c r="C9" s="15" t="s">
        <v>107</v>
      </c>
      <c r="D9" s="15"/>
      <c r="E9" s="15"/>
    </row>
    <row r="10" customFormat="false" ht="15" hidden="false" customHeight="false" outlineLevel="0" collapsed="false">
      <c r="B10" s="27" t="s">
        <v>108</v>
      </c>
      <c r="C10" s="15" t="s">
        <v>109</v>
      </c>
      <c r="D10" s="15"/>
      <c r="E10" s="15"/>
    </row>
    <row r="11" customFormat="false" ht="15" hidden="false" customHeight="false" outlineLevel="0" collapsed="false">
      <c r="B11" s="27" t="s">
        <v>110</v>
      </c>
      <c r="C11" s="15" t="s">
        <v>111</v>
      </c>
      <c r="D11" s="15"/>
      <c r="E11" s="15"/>
    </row>
    <row r="12" customFormat="false" ht="15" hidden="false" customHeight="false" outlineLevel="0" collapsed="false">
      <c r="B12" s="27" t="s">
        <v>112</v>
      </c>
      <c r="C12" s="15" t="s">
        <v>113</v>
      </c>
      <c r="D12" s="15"/>
      <c r="E12" s="15"/>
    </row>
    <row r="13" customFormat="false" ht="15" hidden="false" customHeight="false" outlineLevel="0" collapsed="false">
      <c r="B13" s="27" t="s">
        <v>114</v>
      </c>
      <c r="C13" s="15" t="s">
        <v>115</v>
      </c>
      <c r="D13" s="15"/>
      <c r="E13" s="15"/>
    </row>
    <row r="14" customFormat="false" ht="15" hidden="false" customHeight="false" outlineLevel="0" collapsed="false">
      <c r="B14" s="27" t="s">
        <v>116</v>
      </c>
      <c r="C14" s="15" t="s">
        <v>117</v>
      </c>
      <c r="D14" s="15"/>
      <c r="E14" s="15"/>
    </row>
    <row r="15" customFormat="false" ht="15" hidden="false" customHeight="false" outlineLevel="0" collapsed="false">
      <c r="B15" s="27" t="s">
        <v>118</v>
      </c>
      <c r="C15" s="15" t="s">
        <v>119</v>
      </c>
      <c r="D15" s="15"/>
      <c r="E15" s="15"/>
    </row>
    <row r="16" customFormat="false" ht="15" hidden="false" customHeight="false" outlineLevel="0" collapsed="false">
      <c r="B16" s="27" t="s">
        <v>120</v>
      </c>
      <c r="C16" s="15" t="s">
        <v>121</v>
      </c>
      <c r="D16" s="15"/>
      <c r="E16" s="15"/>
    </row>
    <row r="17" customFormat="false" ht="15" hidden="false" customHeight="false" outlineLevel="0" collapsed="false">
      <c r="B17" s="27" t="s">
        <v>122</v>
      </c>
      <c r="C17" s="15" t="s">
        <v>123</v>
      </c>
      <c r="D17" s="15"/>
      <c r="E17" s="15"/>
    </row>
    <row r="18" customFormat="false" ht="15" hidden="false" customHeight="false" outlineLevel="0" collapsed="false">
      <c r="B18" s="27" t="s">
        <v>124</v>
      </c>
      <c r="C18" s="15" t="s">
        <v>125</v>
      </c>
      <c r="D18" s="15"/>
      <c r="E18" s="15"/>
    </row>
    <row r="19" customFormat="false" ht="15" hidden="false" customHeight="false" outlineLevel="0" collapsed="false">
      <c r="B19" s="27" t="s">
        <v>126</v>
      </c>
      <c r="C19" s="15" t="s">
        <v>127</v>
      </c>
      <c r="D19" s="15"/>
      <c r="E19" s="15"/>
    </row>
    <row r="20" customFormat="false" ht="15" hidden="false" customHeight="false" outlineLevel="0" collapsed="false">
      <c r="B20" s="27" t="s">
        <v>128</v>
      </c>
      <c r="C20" s="15" t="s">
        <v>129</v>
      </c>
      <c r="D20" s="15"/>
      <c r="E20" s="15"/>
    </row>
    <row r="21" customFormat="false" ht="15" hidden="false" customHeight="false" outlineLevel="0" collapsed="false">
      <c r="B21" s="27" t="s">
        <v>130</v>
      </c>
      <c r="C21" s="15" t="s">
        <v>131</v>
      </c>
      <c r="D21" s="15"/>
      <c r="E21" s="15"/>
    </row>
    <row r="22" customFormat="false" ht="15" hidden="false" customHeight="false" outlineLevel="0" collapsed="false">
      <c r="B22" s="27" t="s">
        <v>132</v>
      </c>
      <c r="C22" s="15" t="s">
        <v>133</v>
      </c>
      <c r="D22" s="15"/>
      <c r="E22" s="15"/>
    </row>
    <row r="23" customFormat="false" ht="15" hidden="false" customHeight="false" outlineLevel="0" collapsed="false">
      <c r="B23" s="27" t="s">
        <v>134</v>
      </c>
      <c r="C23" s="15" t="s">
        <v>135</v>
      </c>
      <c r="D23" s="15"/>
      <c r="E23" s="15"/>
    </row>
    <row r="24" customFormat="false" ht="15" hidden="false" customHeight="false" outlineLevel="0" collapsed="false">
      <c r="B24" s="27" t="s">
        <v>136</v>
      </c>
      <c r="C24" s="15" t="s">
        <v>137</v>
      </c>
      <c r="D24" s="15"/>
      <c r="E24" s="15"/>
    </row>
    <row r="25" customFormat="false" ht="15" hidden="false" customHeight="false" outlineLevel="0" collapsed="false">
      <c r="B25" s="27" t="s">
        <v>138</v>
      </c>
      <c r="C25" s="15" t="s">
        <v>139</v>
      </c>
      <c r="D25" s="15"/>
      <c r="E25" s="15"/>
    </row>
    <row r="26" customFormat="false" ht="15" hidden="false" customHeight="false" outlineLevel="0" collapsed="false">
      <c r="B26" s="27" t="s">
        <v>140</v>
      </c>
      <c r="C26" s="15" t="s">
        <v>141</v>
      </c>
      <c r="D26" s="15"/>
      <c r="E26" s="15"/>
    </row>
    <row r="27" customFormat="false" ht="15" hidden="false" customHeight="false" outlineLevel="0" collapsed="false">
      <c r="B27" s="27" t="s">
        <v>142</v>
      </c>
      <c r="C27" s="15" t="s">
        <v>143</v>
      </c>
      <c r="D27" s="15"/>
      <c r="E27" s="15"/>
    </row>
    <row r="28" customFormat="false" ht="15" hidden="false" customHeight="false" outlineLevel="0" collapsed="false">
      <c r="B28" s="27" t="s">
        <v>144</v>
      </c>
      <c r="C28" s="15" t="s">
        <v>145</v>
      </c>
      <c r="D28" s="15"/>
      <c r="E28" s="15"/>
    </row>
    <row r="29" customFormat="false" ht="15" hidden="false" customHeight="false" outlineLevel="0" collapsed="false">
      <c r="B29" s="27" t="s">
        <v>56</v>
      </c>
      <c r="C29" s="15" t="s">
        <v>146</v>
      </c>
      <c r="D29" s="15"/>
      <c r="E29" s="15"/>
    </row>
    <row r="30" customFormat="false" ht="15" hidden="false" customHeight="false" outlineLevel="0" collapsed="false">
      <c r="B30" s="27" t="s">
        <v>147</v>
      </c>
      <c r="C30" s="15" t="s">
        <v>148</v>
      </c>
      <c r="D30" s="15"/>
      <c r="E30" s="15"/>
    </row>
    <row r="31" customFormat="false" ht="15" hidden="false" customHeight="false" outlineLevel="0" collapsed="false">
      <c r="B31" s="27" t="s">
        <v>60</v>
      </c>
      <c r="C31" s="15" t="s">
        <v>149</v>
      </c>
      <c r="D31" s="15"/>
      <c r="E31" s="15"/>
    </row>
    <row r="32" customFormat="false" ht="15" hidden="false" customHeight="false" outlineLevel="0" collapsed="false">
      <c r="B32" s="27" t="s">
        <v>150</v>
      </c>
      <c r="C32" s="15" t="s">
        <v>151</v>
      </c>
      <c r="D32" s="15"/>
      <c r="E32" s="15"/>
    </row>
    <row r="33" customFormat="false" ht="15" hidden="false" customHeight="false" outlineLevel="0" collapsed="false">
      <c r="B33" s="27" t="s">
        <v>152</v>
      </c>
      <c r="C33" s="15" t="s">
        <v>153</v>
      </c>
      <c r="D33" s="15"/>
      <c r="E33" s="15"/>
    </row>
    <row r="34" customFormat="false" ht="15" hidden="false" customHeight="false" outlineLevel="0" collapsed="false">
      <c r="B34" s="27" t="s">
        <v>154</v>
      </c>
      <c r="C34" s="15" t="s">
        <v>155</v>
      </c>
      <c r="D34" s="15"/>
      <c r="E34" s="15"/>
    </row>
    <row r="36" customFormat="false" ht="18.75" hidden="false" customHeight="true" outlineLevel="0" collapsed="false">
      <c r="A36" s="11" t="s">
        <v>156</v>
      </c>
      <c r="B36" s="11"/>
      <c r="C36" s="11"/>
      <c r="D36" s="11"/>
      <c r="E36" s="11"/>
    </row>
    <row r="37" customFormat="false" ht="27.75" hidden="false" customHeight="true" outlineLevel="0" collapsed="false">
      <c r="B37" s="17" t="s">
        <v>157</v>
      </c>
      <c r="C37" s="17"/>
      <c r="D37" s="17"/>
      <c r="E37" s="17"/>
    </row>
    <row r="38" customFormat="false" ht="15" hidden="false" customHeight="false" outlineLevel="0" collapsed="false">
      <c r="B38" s="28" t="s">
        <v>158</v>
      </c>
      <c r="C38" s="28" t="s">
        <v>44</v>
      </c>
      <c r="D38" s="28" t="s">
        <v>45</v>
      </c>
      <c r="E38" s="28" t="s">
        <v>159</v>
      </c>
    </row>
    <row r="39" customFormat="false" ht="15" hidden="false" customHeight="false" outlineLevel="0" collapsed="false">
      <c r="B39" s="19"/>
      <c r="C39" s="25"/>
      <c r="D39" s="19"/>
      <c r="E39" s="19"/>
    </row>
    <row r="40" customFormat="false" ht="15" hidden="false" customHeight="false" outlineLevel="0" collapsed="false">
      <c r="B40" s="19"/>
      <c r="C40" s="25"/>
      <c r="D40" s="19"/>
      <c r="E40" s="19"/>
    </row>
    <row r="41" customFormat="false" ht="15" hidden="false" customHeight="false" outlineLevel="0" collapsed="false">
      <c r="B41" s="19"/>
      <c r="C41" s="25"/>
      <c r="D41" s="19"/>
      <c r="E41" s="19"/>
    </row>
    <row r="42" customFormat="false" ht="15" hidden="false" customHeight="false" outlineLevel="0" collapsed="false">
      <c r="B42" s="19"/>
      <c r="C42" s="25"/>
      <c r="D42" s="19"/>
      <c r="E42" s="19"/>
    </row>
    <row r="43" customFormat="false" ht="15" hidden="false" customHeight="false" outlineLevel="0" collapsed="false">
      <c r="B43" s="19"/>
      <c r="C43" s="25"/>
      <c r="D43" s="19"/>
      <c r="E43" s="19"/>
    </row>
    <row r="44" customFormat="false" ht="15" hidden="false" customHeight="false" outlineLevel="0" collapsed="false">
      <c r="B44" s="19"/>
      <c r="C44" s="25"/>
      <c r="D44" s="19"/>
      <c r="E44" s="19"/>
    </row>
    <row r="45" customFormat="false" ht="15" hidden="false" customHeight="false" outlineLevel="0" collapsed="false">
      <c r="B45" s="19"/>
      <c r="C45" s="25"/>
      <c r="D45" s="19"/>
      <c r="E45" s="19"/>
    </row>
    <row r="46" customFormat="false" ht="15" hidden="false" customHeight="false" outlineLevel="0" collapsed="false">
      <c r="B46" s="19"/>
      <c r="C46" s="25"/>
      <c r="D46" s="19"/>
      <c r="E46" s="19"/>
    </row>
    <row r="47" customFormat="false" ht="15" hidden="false" customHeight="false" outlineLevel="0" collapsed="false">
      <c r="B47" s="19"/>
      <c r="C47" s="25"/>
      <c r="D47" s="19"/>
      <c r="E47" s="19"/>
    </row>
    <row r="48" customFormat="false" ht="15" hidden="false" customHeight="false" outlineLevel="0" collapsed="false">
      <c r="B48" s="19"/>
      <c r="C48" s="25"/>
      <c r="D48" s="19"/>
      <c r="E48" s="19"/>
    </row>
    <row r="49" customFormat="false" ht="15" hidden="false" customHeight="false" outlineLevel="0" collapsed="false">
      <c r="B49" s="19"/>
      <c r="C49" s="25"/>
      <c r="D49" s="19"/>
      <c r="E49" s="19"/>
    </row>
    <row r="50" customFormat="false" ht="15" hidden="false" customHeight="false" outlineLevel="0" collapsed="false">
      <c r="B50" s="19"/>
      <c r="C50" s="25"/>
      <c r="D50" s="19"/>
      <c r="E50" s="19"/>
    </row>
    <row r="51" customFormat="false" ht="15" hidden="false" customHeight="false" outlineLevel="0" collapsed="false">
      <c r="B51" s="19"/>
      <c r="C51" s="25"/>
      <c r="D51" s="19"/>
      <c r="E51" s="19"/>
    </row>
    <row r="52" customFormat="false" ht="15" hidden="false" customHeight="false" outlineLevel="0" collapsed="false">
      <c r="B52" s="19"/>
      <c r="C52" s="25"/>
      <c r="D52" s="19"/>
      <c r="E52" s="19"/>
    </row>
    <row r="53" customFormat="false" ht="15" hidden="false" customHeight="false" outlineLevel="0" collapsed="false">
      <c r="B53" s="19"/>
      <c r="C53" s="25"/>
      <c r="D53" s="19"/>
      <c r="E53" s="19"/>
    </row>
    <row r="54" customFormat="false" ht="15" hidden="false" customHeight="false" outlineLevel="0" collapsed="false">
      <c r="B54" s="19"/>
      <c r="C54" s="25"/>
      <c r="D54" s="19"/>
      <c r="E54" s="19"/>
    </row>
    <row r="55" customFormat="false" ht="15" hidden="false" customHeight="false" outlineLevel="0" collapsed="false">
      <c r="B55" s="19"/>
      <c r="C55" s="25"/>
      <c r="D55" s="19"/>
      <c r="E55" s="19"/>
    </row>
    <row r="56" customFormat="false" ht="15" hidden="false" customHeight="false" outlineLevel="0" collapsed="false">
      <c r="B56" s="19"/>
      <c r="C56" s="25"/>
      <c r="D56" s="19"/>
      <c r="E56" s="19"/>
    </row>
    <row r="57" customFormat="false" ht="15" hidden="false" customHeight="false" outlineLevel="0" collapsed="false">
      <c r="B57" s="19"/>
      <c r="C57" s="25"/>
      <c r="D57" s="19"/>
      <c r="E57" s="19"/>
    </row>
    <row r="58" customFormat="false" ht="15" hidden="false" customHeight="false" outlineLevel="0" collapsed="false">
      <c r="B58" s="19"/>
      <c r="C58" s="25"/>
      <c r="D58" s="19"/>
      <c r="E58" s="19"/>
    </row>
    <row r="59" customFormat="false" ht="15" hidden="false" customHeight="false" outlineLevel="0" collapsed="false">
      <c r="B59" s="19"/>
      <c r="C59" s="25"/>
      <c r="D59" s="19"/>
      <c r="E59" s="19"/>
    </row>
    <row r="60" customFormat="false" ht="15" hidden="false" customHeight="false" outlineLevel="0" collapsed="false">
      <c r="B60" s="19"/>
      <c r="C60" s="25"/>
      <c r="D60" s="19"/>
      <c r="E60" s="19"/>
    </row>
    <row r="61" customFormat="false" ht="15" hidden="false" customHeight="false" outlineLevel="0" collapsed="false">
      <c r="B61" s="19"/>
      <c r="C61" s="25"/>
      <c r="D61" s="19"/>
      <c r="E61" s="19"/>
    </row>
    <row r="62" customFormat="false" ht="15" hidden="false" customHeight="false" outlineLevel="0" collapsed="false">
      <c r="B62" s="19"/>
      <c r="C62" s="25"/>
      <c r="D62" s="19"/>
      <c r="E62" s="19"/>
    </row>
    <row r="63" customFormat="false" ht="15" hidden="false" customHeight="false" outlineLevel="0" collapsed="false">
      <c r="B63" s="19"/>
      <c r="C63" s="25"/>
      <c r="D63" s="19"/>
      <c r="E63" s="19"/>
    </row>
    <row r="64" customFormat="false" ht="15" hidden="false" customHeight="false" outlineLevel="0" collapsed="false">
      <c r="B64" s="19"/>
      <c r="C64" s="25"/>
      <c r="D64" s="19"/>
      <c r="E64" s="19"/>
    </row>
    <row r="65" customFormat="false" ht="15" hidden="false" customHeight="false" outlineLevel="0" collapsed="false">
      <c r="B65" s="19"/>
      <c r="C65" s="25"/>
      <c r="D65" s="19"/>
      <c r="E65" s="19"/>
    </row>
    <row r="66" customFormat="false" ht="15" hidden="false" customHeight="false" outlineLevel="0" collapsed="false">
      <c r="B66" s="19"/>
      <c r="C66" s="25"/>
      <c r="D66" s="19"/>
      <c r="E66" s="19"/>
    </row>
    <row r="67" customFormat="false" ht="15" hidden="false" customHeight="false" outlineLevel="0" collapsed="false">
      <c r="B67" s="19"/>
      <c r="C67" s="25"/>
      <c r="D67" s="19"/>
      <c r="E67" s="19"/>
    </row>
    <row r="68" customFormat="false" ht="15" hidden="false" customHeight="false" outlineLevel="0" collapsed="false">
      <c r="B68" s="19"/>
      <c r="C68" s="25"/>
      <c r="D68" s="19"/>
      <c r="E68" s="19"/>
    </row>
    <row r="69" customFormat="false" ht="15" hidden="false" customHeight="false" outlineLevel="0" collapsed="false">
      <c r="B69" s="19"/>
      <c r="C69" s="25"/>
      <c r="D69" s="19"/>
      <c r="E69" s="19"/>
    </row>
    <row r="70" customFormat="false" ht="15" hidden="false" customHeight="false" outlineLevel="0" collapsed="false">
      <c r="B70" s="19"/>
      <c r="C70" s="25"/>
      <c r="D70" s="19"/>
      <c r="E70" s="19"/>
    </row>
    <row r="71" customFormat="false" ht="15" hidden="false" customHeight="false" outlineLevel="0" collapsed="false">
      <c r="B71" s="19"/>
      <c r="C71" s="25"/>
      <c r="D71" s="19"/>
      <c r="E71" s="19"/>
    </row>
    <row r="72" customFormat="false" ht="15" hidden="false" customHeight="false" outlineLevel="0" collapsed="false">
      <c r="B72" s="19"/>
      <c r="C72" s="25"/>
      <c r="D72" s="19"/>
      <c r="E72" s="19"/>
    </row>
    <row r="73" customFormat="false" ht="15" hidden="false" customHeight="false" outlineLevel="0" collapsed="false">
      <c r="B73" s="19"/>
      <c r="C73" s="25"/>
      <c r="D73" s="19"/>
      <c r="E73" s="19"/>
    </row>
    <row r="74" customFormat="false" ht="15" hidden="false" customHeight="false" outlineLevel="0" collapsed="false">
      <c r="B74" s="19"/>
      <c r="C74" s="25"/>
      <c r="D74" s="19"/>
      <c r="E74" s="19"/>
    </row>
    <row r="75" customFormat="false" ht="15" hidden="false" customHeight="false" outlineLevel="0" collapsed="false">
      <c r="B75" s="19"/>
      <c r="C75" s="25"/>
      <c r="D75" s="19"/>
      <c r="E75" s="19"/>
    </row>
    <row r="76" customFormat="false" ht="15" hidden="false" customHeight="false" outlineLevel="0" collapsed="false">
      <c r="B76" s="19"/>
      <c r="C76" s="25"/>
      <c r="D76" s="19"/>
      <c r="E76" s="19"/>
    </row>
    <row r="77" customFormat="false" ht="15" hidden="false" customHeight="false" outlineLevel="0" collapsed="false">
      <c r="B77" s="19"/>
      <c r="C77" s="25"/>
      <c r="D77" s="19"/>
      <c r="E77" s="19"/>
    </row>
    <row r="78" customFormat="false" ht="15" hidden="false" customHeight="false" outlineLevel="0" collapsed="false">
      <c r="B78" s="19"/>
      <c r="C78" s="25"/>
      <c r="D78" s="19"/>
      <c r="E78" s="19"/>
    </row>
    <row r="79" customFormat="false" ht="15" hidden="false" customHeight="false" outlineLevel="0" collapsed="false">
      <c r="B79" s="19"/>
      <c r="C79" s="25"/>
      <c r="D79" s="19"/>
      <c r="E79" s="19"/>
    </row>
    <row r="80" customFormat="false" ht="15" hidden="false" customHeight="false" outlineLevel="0" collapsed="false">
      <c r="B80" s="19"/>
      <c r="C80" s="25"/>
      <c r="D80" s="19"/>
      <c r="E80" s="19"/>
    </row>
    <row r="81" customFormat="false" ht="15" hidden="false" customHeight="false" outlineLevel="0" collapsed="false">
      <c r="B81" s="19"/>
      <c r="C81" s="25"/>
      <c r="D81" s="19"/>
      <c r="E81" s="19"/>
    </row>
    <row r="82" customFormat="false" ht="15" hidden="false" customHeight="false" outlineLevel="0" collapsed="false">
      <c r="B82" s="19"/>
      <c r="C82" s="25"/>
      <c r="D82" s="19"/>
      <c r="E82" s="19"/>
    </row>
    <row r="83" customFormat="false" ht="15" hidden="false" customHeight="false" outlineLevel="0" collapsed="false">
      <c r="B83" s="19"/>
      <c r="C83" s="25"/>
      <c r="D83" s="19"/>
      <c r="E83" s="19"/>
    </row>
    <row r="84" customFormat="false" ht="15" hidden="false" customHeight="false" outlineLevel="0" collapsed="false">
      <c r="B84" s="19"/>
      <c r="C84" s="25"/>
      <c r="D84" s="19"/>
      <c r="E84" s="19"/>
    </row>
    <row r="85" customFormat="false" ht="15" hidden="false" customHeight="false" outlineLevel="0" collapsed="false">
      <c r="B85" s="19"/>
      <c r="C85" s="25"/>
      <c r="D85" s="19"/>
      <c r="E85" s="19"/>
    </row>
    <row r="86" customFormat="false" ht="15" hidden="false" customHeight="false" outlineLevel="0" collapsed="false">
      <c r="B86" s="19"/>
      <c r="C86" s="25"/>
      <c r="D86" s="19"/>
      <c r="E86" s="19"/>
    </row>
    <row r="87" customFormat="false" ht="15" hidden="false" customHeight="false" outlineLevel="0" collapsed="false">
      <c r="B87" s="19"/>
      <c r="C87" s="25"/>
      <c r="D87" s="19"/>
      <c r="E87" s="19"/>
    </row>
    <row r="88" customFormat="false" ht="15" hidden="false" customHeight="false" outlineLevel="0" collapsed="false">
      <c r="B88" s="19"/>
      <c r="C88" s="25"/>
      <c r="D88" s="19"/>
      <c r="E88" s="19"/>
    </row>
    <row r="89" customFormat="false" ht="15" hidden="false" customHeight="false" outlineLevel="0" collapsed="false">
      <c r="B89" s="19"/>
      <c r="C89" s="25"/>
      <c r="D89" s="19"/>
      <c r="E89" s="19"/>
    </row>
    <row r="90" customFormat="false" ht="15" hidden="false" customHeight="false" outlineLevel="0" collapsed="false">
      <c r="B90" s="19"/>
      <c r="C90" s="25"/>
      <c r="D90" s="19"/>
      <c r="E90" s="19"/>
    </row>
    <row r="91" customFormat="false" ht="15" hidden="false" customHeight="false" outlineLevel="0" collapsed="false">
      <c r="B91" s="19"/>
      <c r="C91" s="25"/>
      <c r="D91" s="19"/>
      <c r="E91" s="19"/>
    </row>
    <row r="92" customFormat="false" ht="15" hidden="false" customHeight="false" outlineLevel="0" collapsed="false">
      <c r="B92" s="19"/>
      <c r="C92" s="25"/>
      <c r="D92" s="19"/>
      <c r="E92" s="19"/>
    </row>
    <row r="93" customFormat="false" ht="15" hidden="false" customHeight="false" outlineLevel="0" collapsed="false">
      <c r="B93" s="19"/>
      <c r="C93" s="25"/>
      <c r="D93" s="19"/>
      <c r="E93" s="19"/>
    </row>
    <row r="94" customFormat="false" ht="15" hidden="false" customHeight="false" outlineLevel="0" collapsed="false">
      <c r="B94" s="19"/>
      <c r="C94" s="25"/>
      <c r="D94" s="19"/>
      <c r="E94" s="19"/>
    </row>
    <row r="95" customFormat="false" ht="15" hidden="false" customHeight="false" outlineLevel="0" collapsed="false">
      <c r="B95" s="19"/>
      <c r="C95" s="25"/>
      <c r="D95" s="19"/>
      <c r="E95" s="19"/>
    </row>
    <row r="96" customFormat="false" ht="15" hidden="false" customHeight="false" outlineLevel="0" collapsed="false">
      <c r="B96" s="19"/>
      <c r="C96" s="25"/>
      <c r="D96" s="19"/>
      <c r="E96" s="19"/>
    </row>
    <row r="97" customFormat="false" ht="15" hidden="false" customHeight="false" outlineLevel="0" collapsed="false">
      <c r="B97" s="19"/>
      <c r="C97" s="25"/>
      <c r="D97" s="19"/>
      <c r="E97" s="19"/>
    </row>
    <row r="98" customFormat="false" ht="15" hidden="false" customHeight="false" outlineLevel="0" collapsed="false">
      <c r="B98" s="19"/>
      <c r="C98" s="25"/>
      <c r="D98" s="19"/>
      <c r="E98" s="19"/>
    </row>
    <row r="99" customFormat="false" ht="15" hidden="false" customHeight="false" outlineLevel="0" collapsed="false">
      <c r="B99" s="19"/>
      <c r="C99" s="25"/>
      <c r="D99" s="19"/>
      <c r="E99" s="19"/>
    </row>
    <row r="100" customFormat="false" ht="15" hidden="false" customHeight="false" outlineLevel="0" collapsed="false">
      <c r="B100" s="19"/>
      <c r="C100" s="25"/>
      <c r="D100" s="19"/>
      <c r="E100" s="19"/>
    </row>
    <row r="101" customFormat="false" ht="15" hidden="false" customHeight="false" outlineLevel="0" collapsed="false">
      <c r="B101" s="19"/>
      <c r="C101" s="25"/>
      <c r="D101" s="19"/>
      <c r="E101" s="19"/>
    </row>
    <row r="102" customFormat="false" ht="15" hidden="false" customHeight="false" outlineLevel="0" collapsed="false">
      <c r="B102" s="19"/>
      <c r="C102" s="25"/>
      <c r="D102" s="19"/>
      <c r="E102" s="19"/>
    </row>
    <row r="103" customFormat="false" ht="15" hidden="false" customHeight="false" outlineLevel="0" collapsed="false">
      <c r="B103" s="19"/>
      <c r="C103" s="25"/>
      <c r="D103" s="19"/>
      <c r="E103" s="19"/>
    </row>
    <row r="104" customFormat="false" ht="15" hidden="false" customHeight="false" outlineLevel="0" collapsed="false">
      <c r="B104" s="19"/>
      <c r="C104" s="25"/>
      <c r="D104" s="19"/>
      <c r="E104" s="19"/>
    </row>
    <row r="105" customFormat="false" ht="15" hidden="false" customHeight="false" outlineLevel="0" collapsed="false">
      <c r="B105" s="19"/>
      <c r="C105" s="25"/>
      <c r="D105" s="19"/>
      <c r="E105" s="19"/>
    </row>
    <row r="106" customFormat="false" ht="15" hidden="false" customHeight="false" outlineLevel="0" collapsed="false">
      <c r="B106" s="19"/>
      <c r="C106" s="25"/>
      <c r="D106" s="19"/>
      <c r="E106" s="19"/>
    </row>
    <row r="107" customFormat="false" ht="15" hidden="false" customHeight="false" outlineLevel="0" collapsed="false">
      <c r="B107" s="19"/>
      <c r="C107" s="25"/>
      <c r="D107" s="19"/>
      <c r="E107" s="19"/>
    </row>
    <row r="108" customFormat="false" ht="15" hidden="false" customHeight="false" outlineLevel="0" collapsed="false">
      <c r="B108" s="19"/>
      <c r="C108" s="25"/>
      <c r="D108" s="19"/>
      <c r="E108" s="19"/>
    </row>
    <row r="109" customFormat="false" ht="15" hidden="false" customHeight="false" outlineLevel="0" collapsed="false">
      <c r="B109" s="19"/>
      <c r="C109" s="25"/>
      <c r="D109" s="19"/>
      <c r="E109" s="19"/>
    </row>
    <row r="110" customFormat="false" ht="15" hidden="false" customHeight="false" outlineLevel="0" collapsed="false">
      <c r="B110" s="19"/>
      <c r="C110" s="25"/>
      <c r="D110" s="19"/>
      <c r="E110" s="19"/>
    </row>
    <row r="111" customFormat="false" ht="15" hidden="false" customHeight="false" outlineLevel="0" collapsed="false">
      <c r="B111" s="19"/>
      <c r="C111" s="25"/>
      <c r="D111" s="19"/>
      <c r="E111" s="19"/>
    </row>
    <row r="112" customFormat="false" ht="15" hidden="false" customHeight="false" outlineLevel="0" collapsed="false">
      <c r="B112" s="19"/>
      <c r="C112" s="25"/>
      <c r="D112" s="19"/>
      <c r="E112" s="19"/>
    </row>
    <row r="113" customFormat="false" ht="15" hidden="false" customHeight="false" outlineLevel="0" collapsed="false">
      <c r="B113" s="19"/>
      <c r="C113" s="25"/>
      <c r="D113" s="19"/>
      <c r="E113" s="19"/>
    </row>
    <row r="114" customFormat="false" ht="15" hidden="false" customHeight="false" outlineLevel="0" collapsed="false">
      <c r="B114" s="19"/>
      <c r="C114" s="25"/>
      <c r="D114" s="19"/>
      <c r="E114" s="19"/>
    </row>
    <row r="115" customFormat="false" ht="15" hidden="false" customHeight="false" outlineLevel="0" collapsed="false">
      <c r="B115" s="19"/>
      <c r="C115" s="25"/>
      <c r="D115" s="19"/>
      <c r="E115" s="19"/>
    </row>
    <row r="116" customFormat="false" ht="15" hidden="false" customHeight="false" outlineLevel="0" collapsed="false">
      <c r="B116" s="19"/>
      <c r="C116" s="25"/>
      <c r="D116" s="19"/>
      <c r="E116" s="19"/>
    </row>
    <row r="117" customFormat="false" ht="15" hidden="false" customHeight="false" outlineLevel="0" collapsed="false">
      <c r="B117" s="19"/>
      <c r="C117" s="25"/>
      <c r="D117" s="19"/>
      <c r="E117" s="19"/>
    </row>
    <row r="118" customFormat="false" ht="15" hidden="false" customHeight="false" outlineLevel="0" collapsed="false">
      <c r="B118" s="19"/>
      <c r="C118" s="25"/>
      <c r="D118" s="19"/>
      <c r="E118" s="19"/>
    </row>
    <row r="119" customFormat="false" ht="25.5" hidden="false" customHeight="true" outlineLevel="0" collapsed="false">
      <c r="B119" s="7" t="s">
        <v>160</v>
      </c>
      <c r="C119" s="29" t="n">
        <f aca="false">SUM(C39:C118)</f>
        <v>0</v>
      </c>
      <c r="E119" s="24" t="s">
        <v>161</v>
      </c>
    </row>
    <row r="120" customFormat="false" ht="23.85" hidden="false" customHeight="false" outlineLevel="0" collapsed="false">
      <c r="B120" s="7" t="s">
        <v>162</v>
      </c>
      <c r="C120" s="30" t="n">
        <f aca="false">SUMPRODUCT((C39:C118&lt;&gt;"")*(D39:D118=""))</f>
        <v>0</v>
      </c>
      <c r="E120" s="31" t="s">
        <v>163</v>
      </c>
    </row>
  </sheetData>
  <mergeCells count="35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A36:E36"/>
    <mergeCell ref="B37:E37"/>
  </mergeCells>
  <dataValidations count="1">
    <dataValidation allowBlank="true" error="Use a code from the list above." errorStyle="stop" errorTitle="Unknown map code" operator="between" showDropDown="false" showErrorMessage="false" showInputMessage="false" sqref="D39:D118" type="list">
      <formula1>'1-TrialBalance'!$B$6:$B$34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54"/>
  </cols>
  <sheetData>
    <row r="1" customFormat="false" ht="30" hidden="false" customHeight="true" outlineLevel="0" collapsed="false">
      <c r="A1" s="1" t="s">
        <v>164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165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11" t="s">
        <v>166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B5" s="28" t="s">
        <v>167</v>
      </c>
      <c r="C5" s="28" t="s">
        <v>168</v>
      </c>
      <c r="D5" s="28" t="s">
        <v>169</v>
      </c>
      <c r="E5" s="28" t="s">
        <v>170</v>
      </c>
      <c r="F5" s="28" t="s">
        <v>171</v>
      </c>
    </row>
    <row r="6" customFormat="false" ht="15" hidden="false" customHeight="false" outlineLevel="0" collapsed="false">
      <c r="B6" s="32" t="s">
        <v>172</v>
      </c>
      <c r="C6" s="33" t="s">
        <v>173</v>
      </c>
      <c r="D6" s="34" t="n">
        <f aca="false">SUMIF('1-TrialBalance'!$D$39:$D$118,"GROSS_RECEIPTS",'1-TrialBalance'!$C$39:$C$118)</f>
        <v>0</v>
      </c>
      <c r="E6" s="35" t="s">
        <v>174</v>
      </c>
      <c r="F6" s="36" t="s">
        <v>175</v>
      </c>
    </row>
    <row r="7" customFormat="false" ht="15" hidden="false" customHeight="false" outlineLevel="0" collapsed="false">
      <c r="B7" s="32" t="s">
        <v>176</v>
      </c>
      <c r="C7" s="33" t="s">
        <v>177</v>
      </c>
      <c r="D7" s="34" t="n">
        <f aca="false">SUMIF('1-TrialBalance'!$D$39:$D$118,"RETURNS",'1-TrialBalance'!$C$39:$C$118)</f>
        <v>0</v>
      </c>
      <c r="E7" s="35" t="s">
        <v>174</v>
      </c>
      <c r="F7" s="36" t="s">
        <v>178</v>
      </c>
    </row>
    <row r="8" customFormat="false" ht="15" hidden="false" customHeight="false" outlineLevel="0" collapsed="false">
      <c r="B8" s="37" t="s">
        <v>179</v>
      </c>
      <c r="C8" s="38" t="s">
        <v>180</v>
      </c>
      <c r="D8" s="29" t="n">
        <f aca="false">$D$6-$D$7</f>
        <v>0</v>
      </c>
      <c r="E8" s="35" t="s">
        <v>174</v>
      </c>
      <c r="F8" s="36"/>
    </row>
    <row r="9" customFormat="false" ht="15" hidden="false" customHeight="false" outlineLevel="0" collapsed="false">
      <c r="B9" s="32" t="s">
        <v>181</v>
      </c>
      <c r="C9" s="33" t="s">
        <v>182</v>
      </c>
      <c r="D9" s="34" t="n">
        <f aca="false">SUMIF('1-TrialBalance'!$D$39:$D$118,"COGS",'1-TrialBalance'!$C$39:$C$118)</f>
        <v>0</v>
      </c>
      <c r="E9" s="35" t="s">
        <v>174</v>
      </c>
      <c r="F9" s="36" t="s">
        <v>183</v>
      </c>
    </row>
    <row r="10" customFormat="false" ht="15" hidden="false" customHeight="false" outlineLevel="0" collapsed="false">
      <c r="B10" s="37" t="s">
        <v>184</v>
      </c>
      <c r="C10" s="38" t="s">
        <v>185</v>
      </c>
      <c r="D10" s="29" t="n">
        <f aca="false">$D$8-$D$9</f>
        <v>0</v>
      </c>
      <c r="E10" s="35" t="s">
        <v>174</v>
      </c>
      <c r="F10" s="36"/>
    </row>
    <row r="11" customFormat="false" ht="15" hidden="false" customHeight="false" outlineLevel="0" collapsed="false">
      <c r="B11" s="32" t="s">
        <v>186</v>
      </c>
      <c r="C11" s="33" t="s">
        <v>187</v>
      </c>
      <c r="D11" s="22" t="n">
        <f aca="false">'3-SchC'!$D$42</f>
        <v>0</v>
      </c>
      <c r="E11" s="35" t="s">
        <v>174</v>
      </c>
      <c r="F11" s="36" t="s">
        <v>188</v>
      </c>
    </row>
    <row r="12" customFormat="false" ht="15" hidden="false" customHeight="false" outlineLevel="0" collapsed="false">
      <c r="B12" s="32" t="s">
        <v>189</v>
      </c>
      <c r="C12" s="33" t="s">
        <v>190</v>
      </c>
      <c r="D12" s="34" t="n">
        <f aca="false">SUMIF('1-TrialBalance'!$D$39:$D$118,"INTEREST",'1-TrialBalance'!$C$39:$C$118)</f>
        <v>0</v>
      </c>
      <c r="E12" s="35" t="s">
        <v>174</v>
      </c>
      <c r="F12" s="36" t="s">
        <v>191</v>
      </c>
    </row>
    <row r="13" customFormat="false" ht="15" hidden="false" customHeight="false" outlineLevel="0" collapsed="false">
      <c r="B13" s="32" t="s">
        <v>192</v>
      </c>
      <c r="C13" s="33" t="s">
        <v>193</v>
      </c>
      <c r="D13" s="34" t="n">
        <f aca="false">SUMIF('1-TrialBalance'!$D$39:$D$118,"GROSS_RENTS",'1-TrialBalance'!$C$39:$C$118)</f>
        <v>0</v>
      </c>
      <c r="E13" s="35" t="s">
        <v>174</v>
      </c>
      <c r="F13" s="36" t="s">
        <v>194</v>
      </c>
    </row>
    <row r="14" customFormat="false" ht="15" hidden="false" customHeight="false" outlineLevel="0" collapsed="false">
      <c r="B14" s="32" t="s">
        <v>195</v>
      </c>
      <c r="C14" s="33" t="s">
        <v>196</v>
      </c>
      <c r="D14" s="34" t="n">
        <f aca="false">SUMIF('1-TrialBalance'!$D$39:$D$118,"ROYALTIES",'1-TrialBalance'!$C$39:$C$118)</f>
        <v>0</v>
      </c>
      <c r="E14" s="35" t="s">
        <v>174</v>
      </c>
      <c r="F14" s="36" t="s">
        <v>197</v>
      </c>
    </row>
    <row r="15" customFormat="false" ht="15" hidden="false" customHeight="false" outlineLevel="0" collapsed="false">
      <c r="B15" s="32" t="s">
        <v>198</v>
      </c>
      <c r="C15" s="33" t="s">
        <v>199</v>
      </c>
      <c r="D15" s="22" t="n">
        <f aca="false">'4-SchD'!$F$30</f>
        <v>0</v>
      </c>
      <c r="E15" s="35" t="s">
        <v>174</v>
      </c>
      <c r="F15" s="36" t="s">
        <v>200</v>
      </c>
    </row>
    <row r="16" customFormat="false" ht="15" hidden="false" customHeight="false" outlineLevel="0" collapsed="false">
      <c r="B16" s="32" t="s">
        <v>201</v>
      </c>
      <c r="C16" s="33" t="s">
        <v>202</v>
      </c>
      <c r="D16" s="34" t="n">
        <f aca="false">SUMIF('1-TrialBalance'!$D$39:$D$118,"F4797",'1-TrialBalance'!$C$39:$C$118)</f>
        <v>0</v>
      </c>
      <c r="E16" s="35" t="s">
        <v>174</v>
      </c>
      <c r="F16" s="36" t="s">
        <v>203</v>
      </c>
    </row>
    <row r="17" customFormat="false" ht="15" hidden="false" customHeight="false" outlineLevel="0" collapsed="false">
      <c r="B17" s="32" t="s">
        <v>204</v>
      </c>
      <c r="C17" s="33" t="s">
        <v>205</v>
      </c>
      <c r="D17" s="34" t="n">
        <f aca="false">SUMIF('1-TrialBalance'!$D$39:$D$118,"OTHER_INC",'1-TrialBalance'!$C$39:$C$118)</f>
        <v>0</v>
      </c>
      <c r="E17" s="35" t="s">
        <v>174</v>
      </c>
      <c r="F17" s="36" t="s">
        <v>206</v>
      </c>
    </row>
    <row r="18" customFormat="false" ht="15" hidden="false" customHeight="false" outlineLevel="0" collapsed="false">
      <c r="B18" s="37" t="s">
        <v>207</v>
      </c>
      <c r="C18" s="38" t="s">
        <v>208</v>
      </c>
      <c r="D18" s="29" t="n">
        <f aca="false">$D$10+SUM($D$11:$D$17)</f>
        <v>0</v>
      </c>
      <c r="E18" s="35" t="s">
        <v>174</v>
      </c>
      <c r="F18" s="36"/>
    </row>
    <row r="20" customFormat="false" ht="18.75" hidden="false" customHeight="true" outlineLevel="0" collapsed="false">
      <c r="A20" s="11" t="s">
        <v>209</v>
      </c>
      <c r="B20" s="11"/>
      <c r="C20" s="11"/>
      <c r="D20" s="11"/>
      <c r="E20" s="11"/>
      <c r="F20" s="11"/>
    </row>
    <row r="21" customFormat="false" ht="15" hidden="false" customHeight="false" outlineLevel="0" collapsed="false">
      <c r="B21" s="32" t="s">
        <v>210</v>
      </c>
      <c r="C21" s="33" t="s">
        <v>211</v>
      </c>
      <c r="D21" s="34" t="n">
        <f aca="false">SUMIF('1-TrialBalance'!$D$39:$D$118,"OFFICER_COMP",'1-TrialBalance'!$C$39:$C$118)</f>
        <v>0</v>
      </c>
      <c r="E21" s="35" t="s">
        <v>174</v>
      </c>
      <c r="F21" s="36" t="s">
        <v>212</v>
      </c>
    </row>
    <row r="22" customFormat="false" ht="15" hidden="false" customHeight="false" outlineLevel="0" collapsed="false">
      <c r="B22" s="32" t="s">
        <v>213</v>
      </c>
      <c r="C22" s="33" t="s">
        <v>214</v>
      </c>
      <c r="D22" s="34" t="n">
        <f aca="false">SUMIF('1-TrialBalance'!$D$39:$D$118,"SALARIES",'1-TrialBalance'!$C$39:$C$118)</f>
        <v>0</v>
      </c>
      <c r="E22" s="35" t="s">
        <v>174</v>
      </c>
      <c r="F22" s="36" t="s">
        <v>215</v>
      </c>
    </row>
    <row r="23" customFormat="false" ht="15" hidden="false" customHeight="false" outlineLevel="0" collapsed="false">
      <c r="B23" s="32" t="s">
        <v>216</v>
      </c>
      <c r="C23" s="33" t="s">
        <v>217</v>
      </c>
      <c r="D23" s="34" t="n">
        <f aca="false">SUMIF('1-TrialBalance'!$D$39:$D$118,"REPAIRS",'1-TrialBalance'!$C$39:$C$118)</f>
        <v>0</v>
      </c>
      <c r="E23" s="35" t="s">
        <v>174</v>
      </c>
      <c r="F23" s="36" t="s">
        <v>218</v>
      </c>
    </row>
    <row r="24" customFormat="false" ht="15" hidden="false" customHeight="false" outlineLevel="0" collapsed="false">
      <c r="B24" s="32" t="s">
        <v>219</v>
      </c>
      <c r="C24" s="33" t="s">
        <v>220</v>
      </c>
      <c r="D24" s="34" t="n">
        <f aca="false">SUMIF('1-TrialBalance'!$D$39:$D$118,"BADDEBT",'1-TrialBalance'!$C$39:$C$118)</f>
        <v>0</v>
      </c>
      <c r="E24" s="35" t="s">
        <v>174</v>
      </c>
      <c r="F24" s="36" t="s">
        <v>221</v>
      </c>
    </row>
    <row r="25" customFormat="false" ht="15" hidden="false" customHeight="false" outlineLevel="0" collapsed="false">
      <c r="B25" s="32" t="s">
        <v>222</v>
      </c>
      <c r="C25" s="33" t="s">
        <v>223</v>
      </c>
      <c r="D25" s="34" t="n">
        <f aca="false">SUMIF('1-TrialBalance'!$D$39:$D$118,"RENTS",'1-TrialBalance'!$C$39:$C$118)</f>
        <v>0</v>
      </c>
      <c r="E25" s="35" t="s">
        <v>174</v>
      </c>
      <c r="F25" s="36" t="s">
        <v>224</v>
      </c>
    </row>
    <row r="26" customFormat="false" ht="15" hidden="false" customHeight="false" outlineLevel="0" collapsed="false">
      <c r="B26" s="32" t="s">
        <v>225</v>
      </c>
      <c r="C26" s="33" t="s">
        <v>226</v>
      </c>
      <c r="D26" s="34" t="n">
        <f aca="false">SUMIF('1-TrialBalance'!$D$39:$D$118,"TAXES_LIC",'1-TrialBalance'!$C$39:$C$118)</f>
        <v>0</v>
      </c>
      <c r="E26" s="35" t="s">
        <v>174</v>
      </c>
      <c r="F26" s="36" t="s">
        <v>227</v>
      </c>
    </row>
    <row r="27" customFormat="false" ht="15" hidden="false" customHeight="false" outlineLevel="0" collapsed="false">
      <c r="B27" s="32" t="s">
        <v>228</v>
      </c>
      <c r="C27" s="33" t="s">
        <v>190</v>
      </c>
      <c r="D27" s="34" t="n">
        <f aca="false">SUMIF('1-TrialBalance'!$D$39:$D$118,"INT_EXP",'1-TrialBalance'!$C$39:$C$118)</f>
        <v>0</v>
      </c>
      <c r="E27" s="35" t="s">
        <v>174</v>
      </c>
      <c r="F27" s="36" t="s">
        <v>229</v>
      </c>
    </row>
    <row r="28" customFormat="false" ht="15" hidden="false" customHeight="false" outlineLevel="0" collapsed="false">
      <c r="B28" s="32" t="s">
        <v>230</v>
      </c>
      <c r="C28" s="33" t="s">
        <v>231</v>
      </c>
      <c r="D28" s="34" t="n">
        <f aca="false">$D$55</f>
        <v>0</v>
      </c>
      <c r="E28" s="35" t="s">
        <v>174</v>
      </c>
      <c r="F28" s="36" t="s">
        <v>232</v>
      </c>
    </row>
    <row r="29" customFormat="false" ht="15" hidden="false" customHeight="false" outlineLevel="0" collapsed="false">
      <c r="B29" s="32" t="s">
        <v>233</v>
      </c>
      <c r="C29" s="33" t="s">
        <v>234</v>
      </c>
      <c r="D29" s="34" t="n">
        <f aca="false">SUMIF('1-TrialBalance'!$D$39:$D$118,"DEPREC",'1-TrialBalance'!$C$39:$C$118)</f>
        <v>0</v>
      </c>
      <c r="E29" s="35" t="s">
        <v>174</v>
      </c>
      <c r="F29" s="36" t="s">
        <v>235</v>
      </c>
    </row>
    <row r="30" customFormat="false" ht="15" hidden="false" customHeight="false" outlineLevel="0" collapsed="false">
      <c r="B30" s="32" t="s">
        <v>236</v>
      </c>
      <c r="C30" s="33" t="s">
        <v>237</v>
      </c>
      <c r="D30" s="34" t="n">
        <f aca="false">SUMIF('1-TrialBalance'!$D$39:$D$118,"DEPLETION",'1-TrialBalance'!$C$39:$C$118)</f>
        <v>0</v>
      </c>
      <c r="E30" s="35" t="s">
        <v>174</v>
      </c>
      <c r="F30" s="36" t="s">
        <v>238</v>
      </c>
    </row>
    <row r="31" customFormat="false" ht="15" hidden="false" customHeight="false" outlineLevel="0" collapsed="false">
      <c r="B31" s="32" t="s">
        <v>239</v>
      </c>
      <c r="C31" s="33" t="s">
        <v>240</v>
      </c>
      <c r="D31" s="34" t="n">
        <f aca="false">SUMIF('1-TrialBalance'!$D$39:$D$118,"ADVERTISING",'1-TrialBalance'!$C$39:$C$118)</f>
        <v>0</v>
      </c>
      <c r="E31" s="35" t="s">
        <v>174</v>
      </c>
      <c r="F31" s="36" t="s">
        <v>241</v>
      </c>
    </row>
    <row r="32" customFormat="false" ht="15" hidden="false" customHeight="false" outlineLevel="0" collapsed="false">
      <c r="B32" s="32" t="s">
        <v>242</v>
      </c>
      <c r="C32" s="33" t="s">
        <v>243</v>
      </c>
      <c r="D32" s="34" t="n">
        <f aca="false">SUMIF('1-TrialBalance'!$D$39:$D$118,"PENSION",'1-TrialBalance'!$C$39:$C$118)</f>
        <v>0</v>
      </c>
      <c r="E32" s="35" t="s">
        <v>174</v>
      </c>
      <c r="F32" s="36" t="s">
        <v>244</v>
      </c>
    </row>
    <row r="33" customFormat="false" ht="15" hidden="false" customHeight="false" outlineLevel="0" collapsed="false">
      <c r="B33" s="32" t="s">
        <v>245</v>
      </c>
      <c r="C33" s="33" t="s">
        <v>246</v>
      </c>
      <c r="D33" s="34" t="n">
        <f aca="false">SUMIF('1-TrialBalance'!$D$39:$D$118,"BENEFITS",'1-TrialBalance'!$C$39:$C$118)</f>
        <v>0</v>
      </c>
      <c r="E33" s="35" t="s">
        <v>174</v>
      </c>
      <c r="F33" s="36" t="s">
        <v>247</v>
      </c>
    </row>
    <row r="34" customFormat="false" ht="15" hidden="false" customHeight="false" outlineLevel="0" collapsed="false">
      <c r="B34" s="32" t="s">
        <v>248</v>
      </c>
      <c r="C34" s="33" t="s">
        <v>249</v>
      </c>
      <c r="D34" s="25"/>
      <c r="E34" s="39" t="s">
        <v>250</v>
      </c>
      <c r="F34" s="36" t="s">
        <v>251</v>
      </c>
    </row>
    <row r="35" customFormat="false" ht="15" hidden="false" customHeight="false" outlineLevel="0" collapsed="false">
      <c r="B35" s="32" t="s">
        <v>252</v>
      </c>
      <c r="C35" s="33" t="s">
        <v>253</v>
      </c>
      <c r="D35" s="34" t="n">
        <f aca="false">SUMIF('1-TrialBalance'!$D$39:$D$118,"OTHER_DED",'1-TrialBalance'!$C$39:$C$118)</f>
        <v>0</v>
      </c>
      <c r="E35" s="35" t="s">
        <v>174</v>
      </c>
      <c r="F35" s="36" t="s">
        <v>254</v>
      </c>
    </row>
    <row r="36" customFormat="false" ht="15" hidden="false" customHeight="false" outlineLevel="0" collapsed="false">
      <c r="B36" s="37" t="s">
        <v>255</v>
      </c>
      <c r="C36" s="38" t="s">
        <v>256</v>
      </c>
      <c r="D36" s="29" t="n">
        <f aca="false">SUM($D$21:$D$35)</f>
        <v>0</v>
      </c>
      <c r="E36" s="35" t="s">
        <v>174</v>
      </c>
      <c r="F36" s="36"/>
    </row>
    <row r="38" customFormat="false" ht="15" hidden="false" customHeight="false" outlineLevel="0" collapsed="false">
      <c r="B38" s="37" t="s">
        <v>257</v>
      </c>
      <c r="C38" s="38" t="s">
        <v>258</v>
      </c>
      <c r="D38" s="29" t="n">
        <f aca="false">$D$18-$D$36</f>
        <v>0</v>
      </c>
      <c r="E38" s="35" t="s">
        <v>174</v>
      </c>
      <c r="F38" s="36"/>
    </row>
    <row r="39" customFormat="false" ht="15" hidden="false" customHeight="false" outlineLevel="0" collapsed="false">
      <c r="B39" s="32" t="s">
        <v>259</v>
      </c>
      <c r="C39" s="33" t="s">
        <v>260</v>
      </c>
      <c r="D39" s="25"/>
      <c r="E39" s="39" t="s">
        <v>250</v>
      </c>
      <c r="F39" s="36" t="s">
        <v>261</v>
      </c>
    </row>
    <row r="40" customFormat="false" ht="15" hidden="false" customHeight="false" outlineLevel="0" collapsed="false">
      <c r="B40" s="32" t="s">
        <v>262</v>
      </c>
      <c r="C40" s="33" t="s">
        <v>263</v>
      </c>
      <c r="D40" s="22" t="n">
        <f aca="false">'3-SchC'!$F$43</f>
        <v>0</v>
      </c>
      <c r="E40" s="35" t="s">
        <v>174</v>
      </c>
      <c r="F40" s="36" t="s">
        <v>264</v>
      </c>
    </row>
    <row r="41" customFormat="false" ht="15" hidden="false" customHeight="false" outlineLevel="0" collapsed="false">
      <c r="B41" s="37" t="s">
        <v>265</v>
      </c>
      <c r="C41" s="38" t="s">
        <v>266</v>
      </c>
      <c r="D41" s="29" t="n">
        <f aca="false">$D$39+$D$40</f>
        <v>0</v>
      </c>
      <c r="E41" s="35" t="s">
        <v>174</v>
      </c>
      <c r="F41" s="36"/>
    </row>
    <row r="42" customFormat="false" ht="15" hidden="false" customHeight="false" outlineLevel="0" collapsed="false">
      <c r="B42" s="37" t="s">
        <v>267</v>
      </c>
      <c r="C42" s="38" t="s">
        <v>268</v>
      </c>
      <c r="D42" s="29" t="n">
        <f aca="false">$D$38-$D$41</f>
        <v>0</v>
      </c>
      <c r="E42" s="35" t="s">
        <v>174</v>
      </c>
      <c r="F42" s="36"/>
    </row>
    <row r="44" customFormat="false" ht="18.75" hidden="false" customHeight="true" outlineLevel="0" collapsed="false">
      <c r="A44" s="11" t="s">
        <v>269</v>
      </c>
      <c r="B44" s="11"/>
      <c r="C44" s="11"/>
      <c r="D44" s="11"/>
      <c r="E44" s="11"/>
      <c r="F44" s="11"/>
    </row>
    <row r="45" customFormat="false" ht="15" hidden="false" customHeight="false" outlineLevel="0" collapsed="false">
      <c r="B45" s="37" t="s">
        <v>270</v>
      </c>
      <c r="C45" s="38" t="s">
        <v>271</v>
      </c>
      <c r="D45" s="40" t="n">
        <f aca="false">'6-SchJ'!$D$20</f>
        <v>0</v>
      </c>
      <c r="E45" s="35" t="s">
        <v>174</v>
      </c>
      <c r="F45" s="36" t="s">
        <v>272</v>
      </c>
    </row>
    <row r="46" customFormat="false" ht="15" hidden="false" customHeight="false" outlineLevel="0" collapsed="false">
      <c r="B46" s="32" t="s">
        <v>273</v>
      </c>
      <c r="C46" s="33" t="s">
        <v>274</v>
      </c>
      <c r="D46" s="22" t="n">
        <f aca="false">'6-SchJ'!$D$27</f>
        <v>0</v>
      </c>
      <c r="E46" s="35" t="s">
        <v>174</v>
      </c>
      <c r="F46" s="36" t="s">
        <v>272</v>
      </c>
    </row>
    <row r="47" customFormat="false" ht="15" hidden="false" customHeight="false" outlineLevel="0" collapsed="false">
      <c r="B47" s="32" t="s">
        <v>275</v>
      </c>
      <c r="C47" s="33" t="s">
        <v>276</v>
      </c>
      <c r="D47" s="25"/>
      <c r="E47" s="39" t="s">
        <v>250</v>
      </c>
      <c r="F47" s="36" t="s">
        <v>277</v>
      </c>
    </row>
    <row r="48" customFormat="false" ht="15" hidden="false" customHeight="false" outlineLevel="0" collapsed="false">
      <c r="B48" s="37" t="s">
        <v>278</v>
      </c>
      <c r="C48" s="38" t="s">
        <v>279</v>
      </c>
      <c r="D48" s="29" t="n">
        <f aca="false">IF($D$46&lt;$D$45+$D$47,$D$45+$D$47-$D$46,0)</f>
        <v>0</v>
      </c>
      <c r="E48" s="35" t="s">
        <v>174</v>
      </c>
      <c r="F48" s="36"/>
    </row>
    <row r="49" customFormat="false" ht="15" hidden="false" customHeight="false" outlineLevel="0" collapsed="false">
      <c r="B49" s="37" t="s">
        <v>280</v>
      </c>
      <c r="C49" s="38" t="s">
        <v>281</v>
      </c>
      <c r="D49" s="29" t="n">
        <f aca="false">IF($D$46&gt;$D$45+$D$47,$D$46-$D$45-$D$47,0)</f>
        <v>0</v>
      </c>
      <c r="E49" s="35" t="s">
        <v>174</v>
      </c>
      <c r="F49" s="36"/>
    </row>
    <row r="51" customFormat="false" ht="18.75" hidden="false" customHeight="true" outlineLevel="0" collapsed="false">
      <c r="A51" s="13" t="s">
        <v>282</v>
      </c>
      <c r="B51" s="13"/>
      <c r="C51" s="13"/>
      <c r="D51" s="13"/>
      <c r="E51" s="13"/>
      <c r="F51" s="13"/>
    </row>
    <row r="52" customFormat="false" ht="15" hidden="false" customHeight="false" outlineLevel="0" collapsed="false">
      <c r="C52" s="33" t="s">
        <v>283</v>
      </c>
      <c r="D52" s="34" t="n">
        <f aca="false">SUMIF('1-TrialBalance'!$D$39:$D$118,"CHARITY",'1-TrialBalance'!$C$39:$C$118)</f>
        <v>0</v>
      </c>
    </row>
    <row r="53" customFormat="false" ht="15" hidden="false" customHeight="false" outlineLevel="0" collapsed="false">
      <c r="C53" s="33" t="s">
        <v>284</v>
      </c>
      <c r="D53" s="34" t="n">
        <f aca="false">$D$18-SUM($D$21:$D$27)-SUM($D$29:$D$35)</f>
        <v>0</v>
      </c>
    </row>
    <row r="54" customFormat="false" ht="15" hidden="false" customHeight="false" outlineLevel="0" collapsed="false">
      <c r="C54" s="33" t="s">
        <v>285</v>
      </c>
      <c r="D54" s="34" t="n">
        <f aca="false">MAX(0,$D$53*0.1)</f>
        <v>0</v>
      </c>
    </row>
    <row r="55" customFormat="false" ht="15" hidden="false" customHeight="false" outlineLevel="0" collapsed="false">
      <c r="C55" s="38" t="s">
        <v>286</v>
      </c>
      <c r="D55" s="29" t="n">
        <f aca="false">MIN($D$52,$D$54)</f>
        <v>0</v>
      </c>
    </row>
    <row r="56" customFormat="false" ht="15" hidden="false" customHeight="false" outlineLevel="0" collapsed="false">
      <c r="C56" s="38" t="s">
        <v>287</v>
      </c>
      <c r="D56" s="29" t="n">
        <f aca="false">MAX(0,$D$52-$D$54)</f>
        <v>0</v>
      </c>
      <c r="F56" s="31" t="s">
        <v>288</v>
      </c>
    </row>
  </sheetData>
  <mergeCells count="6">
    <mergeCell ref="A1:F1"/>
    <mergeCell ref="A2:F2"/>
    <mergeCell ref="A4:F4"/>
    <mergeCell ref="A20:F20"/>
    <mergeCell ref="A44:F44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52"/>
    <col collapsed="false" customWidth="true" hidden="false" outlineLevel="0" max="4" min="4" style="0" width="19"/>
    <col collapsed="false" customWidth="true" hidden="false" outlineLevel="0" max="5" min="5" style="0" width="9"/>
    <col collapsed="false" customWidth="true" hidden="false" outlineLevel="0" max="6" min="6" style="0" width="19"/>
    <col collapsed="false" customWidth="true" hidden="false" outlineLevel="0" max="7" min="7" style="0" width="56"/>
  </cols>
  <sheetData>
    <row r="1" customFormat="false" ht="30" hidden="false" customHeight="true" outlineLevel="0" collapsed="false">
      <c r="A1" s="1" t="s">
        <v>289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290</v>
      </c>
      <c r="B2" s="2"/>
      <c r="C2" s="2"/>
      <c r="D2" s="2"/>
      <c r="E2" s="2"/>
      <c r="F2" s="2"/>
      <c r="G2" s="2"/>
    </row>
    <row r="4" customFormat="false" ht="18.75" hidden="false" customHeight="true" outlineLevel="0" collapsed="false">
      <c r="A4" s="11" t="s">
        <v>291</v>
      </c>
      <c r="B4" s="11"/>
      <c r="C4" s="11"/>
      <c r="D4" s="11"/>
      <c r="E4" s="11"/>
      <c r="F4" s="11"/>
      <c r="G4" s="11"/>
    </row>
    <row r="5" customFormat="false" ht="42" hidden="false" customHeight="true" outlineLevel="0" collapsed="false">
      <c r="C5" s="16" t="s">
        <v>292</v>
      </c>
      <c r="D5" s="16"/>
      <c r="E5" s="16"/>
      <c r="F5" s="16"/>
      <c r="G5" s="16"/>
    </row>
    <row r="6" customFormat="false" ht="15" hidden="false" customHeight="false" outlineLevel="0" collapsed="false">
      <c r="C6" s="18" t="s">
        <v>293</v>
      </c>
      <c r="D6" s="25"/>
    </row>
    <row r="7" customFormat="false" ht="15" hidden="false" customHeight="false" outlineLevel="0" collapsed="false">
      <c r="C7" s="18" t="s">
        <v>294</v>
      </c>
      <c r="D7" s="19"/>
    </row>
    <row r="8" customFormat="false" ht="15" hidden="false" customHeight="false" outlineLevel="0" collapsed="false">
      <c r="C8" s="18" t="s">
        <v>295</v>
      </c>
      <c r="D8" s="25"/>
    </row>
    <row r="9" customFormat="false" ht="15" hidden="false" customHeight="false" outlineLevel="0" collapsed="false">
      <c r="C9" s="18" t="s">
        <v>296</v>
      </c>
      <c r="D9" s="19"/>
    </row>
    <row r="10" customFormat="false" ht="15" hidden="false" customHeight="false" outlineLevel="0" collapsed="false">
      <c r="C10" s="18" t="s">
        <v>297</v>
      </c>
      <c r="D10" s="25"/>
    </row>
    <row r="11" customFormat="false" ht="15" hidden="false" customHeight="false" outlineLevel="0" collapsed="false">
      <c r="C11" s="18" t="s">
        <v>298</v>
      </c>
      <c r="D11" s="19"/>
      <c r="E11" s="19"/>
      <c r="F11" s="19"/>
      <c r="G11" s="19"/>
    </row>
    <row r="12" customFormat="false" ht="15" hidden="false" customHeight="false" outlineLevel="0" collapsed="false">
      <c r="C12" s="7" t="s">
        <v>299</v>
      </c>
      <c r="D12" s="29" t="n">
        <f aca="false">IF(OR('3-SchC'!$D$9="No",'3-SchC'!$D$9=""),0,MAX(0,N('3-SchC'!$D$8)-N('3-SchC'!$D$10)))</f>
        <v>0</v>
      </c>
      <c r="F12" s="15" t="s">
        <v>300</v>
      </c>
      <c r="G12" s="15"/>
    </row>
    <row r="13" customFormat="false" ht="15" hidden="false" customHeight="false" outlineLevel="0" collapsed="false">
      <c r="C13" s="7" t="s">
        <v>301</v>
      </c>
      <c r="D13" s="29" t="n">
        <f aca="false">IF(OR('3-SchC'!$D$9="No",'3-SchC'!$D$9=""),0,N('3-SchC'!$D$10))</f>
        <v>0</v>
      </c>
    </row>
    <row r="14" customFormat="false" ht="15" hidden="false" customHeight="false" outlineLevel="0" collapsed="false">
      <c r="C14" s="7" t="s">
        <v>302</v>
      </c>
      <c r="D14" s="29" t="n">
        <f aca="false">N('3-SchC'!$D$6)-'3-SchC'!$D$12-'3-SchC'!$D$13</f>
        <v>0</v>
      </c>
    </row>
    <row r="15" customFormat="false" ht="15" hidden="false" customHeight="false" outlineLevel="0" collapsed="false">
      <c r="C15" s="41" t="s">
        <v>303</v>
      </c>
      <c r="D15" s="42" t="str">
        <f aca="false">IF(N('3-SchC'!$D$6)=0,"—",IF(AND('3-SchC'!$D$12+'3-SchC'!$D$13=0,'3-SchC'!$D$7="Yes"),"⚠ ALL on line 20 while the client HOLDS domestic shares — ask the broker before filing",IF('3-SchC'!$D$12+'3-SchC'!$D$13=0,"No DRD — reason recorded above","DRD taken — check the reason row is filled in")))</f>
        <v>—</v>
      </c>
      <c r="E15" s="42"/>
      <c r="F15" s="42"/>
      <c r="G15" s="42"/>
    </row>
    <row r="17" customFormat="false" ht="18.75" hidden="false" customHeight="true" outlineLevel="0" collapsed="false">
      <c r="A17" s="11" t="s">
        <v>304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B18" s="28" t="s">
        <v>167</v>
      </c>
      <c r="C18" s="28" t="s">
        <v>168</v>
      </c>
      <c r="D18" s="28" t="s">
        <v>305</v>
      </c>
      <c r="E18" s="28" t="s">
        <v>306</v>
      </c>
      <c r="F18" s="28" t="s">
        <v>307</v>
      </c>
      <c r="G18" s="28" t="s">
        <v>46</v>
      </c>
    </row>
    <row r="19" customFormat="false" ht="15" hidden="false" customHeight="false" outlineLevel="0" collapsed="false">
      <c r="B19" s="32" t="s">
        <v>308</v>
      </c>
      <c r="C19" s="33" t="s">
        <v>309</v>
      </c>
      <c r="D19" s="34" t="n">
        <f aca="false">'3-SchC'!$D$12</f>
        <v>0</v>
      </c>
      <c r="E19" s="43" t="n">
        <v>0.5</v>
      </c>
      <c r="F19" s="34" t="n">
        <f aca="false">ROUND(D19*E19,2)</f>
        <v>0</v>
      </c>
      <c r="G19" s="36" t="s">
        <v>310</v>
      </c>
    </row>
    <row r="20" customFormat="false" ht="15" hidden="false" customHeight="false" outlineLevel="0" collapsed="false">
      <c r="B20" s="32" t="s">
        <v>181</v>
      </c>
      <c r="C20" s="33" t="s">
        <v>311</v>
      </c>
      <c r="D20" s="34" t="n">
        <f aca="false">'3-SchC'!$D$13</f>
        <v>0</v>
      </c>
      <c r="E20" s="43" t="n">
        <v>0.65</v>
      </c>
      <c r="F20" s="34" t="n">
        <f aca="false">ROUND(D20*E20,2)</f>
        <v>0</v>
      </c>
      <c r="G20" s="36"/>
    </row>
    <row r="21" customFormat="false" ht="15" hidden="false" customHeight="false" outlineLevel="0" collapsed="false">
      <c r="B21" s="32" t="s">
        <v>184</v>
      </c>
      <c r="C21" s="33" t="s">
        <v>312</v>
      </c>
      <c r="D21" s="25"/>
      <c r="E21" s="33"/>
      <c r="F21" s="33"/>
      <c r="G21" s="36" t="s">
        <v>313</v>
      </c>
    </row>
    <row r="22" customFormat="false" ht="15" hidden="false" customHeight="false" outlineLevel="0" collapsed="false">
      <c r="B22" s="32" t="s">
        <v>186</v>
      </c>
      <c r="C22" s="33" t="s">
        <v>314</v>
      </c>
      <c r="D22" s="25"/>
      <c r="E22" s="43" t="n">
        <v>0.233</v>
      </c>
      <c r="F22" s="34" t="n">
        <f aca="false">ROUND(D22*E22,2)</f>
        <v>0</v>
      </c>
      <c r="G22" s="36"/>
    </row>
    <row r="23" customFormat="false" ht="15" hidden="false" customHeight="false" outlineLevel="0" collapsed="false">
      <c r="B23" s="32" t="s">
        <v>189</v>
      </c>
      <c r="C23" s="33" t="s">
        <v>315</v>
      </c>
      <c r="D23" s="25"/>
      <c r="E23" s="43" t="n">
        <v>0.267</v>
      </c>
      <c r="F23" s="34" t="n">
        <f aca="false">ROUND(D23*E23,2)</f>
        <v>0</v>
      </c>
      <c r="G23" s="36"/>
    </row>
    <row r="24" customFormat="false" ht="15" hidden="false" customHeight="false" outlineLevel="0" collapsed="false">
      <c r="B24" s="32" t="s">
        <v>192</v>
      </c>
      <c r="C24" s="33" t="s">
        <v>316</v>
      </c>
      <c r="D24" s="25"/>
      <c r="E24" s="43" t="n">
        <v>0.5</v>
      </c>
      <c r="F24" s="34" t="n">
        <f aca="false">ROUND(D24*E24,2)</f>
        <v>0</v>
      </c>
      <c r="G24" s="36"/>
    </row>
    <row r="25" customFormat="false" ht="15" hidden="false" customHeight="false" outlineLevel="0" collapsed="false">
      <c r="B25" s="32" t="s">
        <v>195</v>
      </c>
      <c r="C25" s="33" t="s">
        <v>317</v>
      </c>
      <c r="D25" s="25"/>
      <c r="E25" s="43" t="n">
        <v>0.65</v>
      </c>
      <c r="F25" s="34" t="n">
        <f aca="false">ROUND(D25*E25,2)</f>
        <v>0</v>
      </c>
      <c r="G25" s="36"/>
    </row>
    <row r="26" customFormat="false" ht="15" hidden="false" customHeight="false" outlineLevel="0" collapsed="false">
      <c r="B26" s="32" t="s">
        <v>198</v>
      </c>
      <c r="C26" s="33" t="s">
        <v>318</v>
      </c>
      <c r="D26" s="25"/>
      <c r="E26" s="43" t="n">
        <v>1</v>
      </c>
      <c r="F26" s="34" t="n">
        <f aca="false">ROUND(D26*E26,2)</f>
        <v>0</v>
      </c>
      <c r="G26" s="36"/>
    </row>
    <row r="27" customFormat="false" ht="15" hidden="false" customHeight="false" outlineLevel="0" collapsed="false">
      <c r="B27" s="37" t="s">
        <v>201</v>
      </c>
      <c r="C27" s="38" t="s">
        <v>319</v>
      </c>
      <c r="D27" s="29" t="n">
        <f aca="false">SUM(D19:D26)</f>
        <v>0</v>
      </c>
      <c r="E27" s="33"/>
      <c r="F27" s="29" t="n">
        <f aca="false">SUM(F19:F26)</f>
        <v>0</v>
      </c>
      <c r="G27" s="36" t="s">
        <v>320</v>
      </c>
    </row>
    <row r="28" customFormat="false" ht="15" hidden="false" customHeight="false" outlineLevel="0" collapsed="false">
      <c r="B28" s="32" t="s">
        <v>204</v>
      </c>
      <c r="C28" s="33" t="s">
        <v>321</v>
      </c>
      <c r="D28" s="25"/>
      <c r="E28" s="43" t="n">
        <v>1</v>
      </c>
      <c r="F28" s="34" t="n">
        <f aca="false">ROUND(D28*E28,2)</f>
        <v>0</v>
      </c>
      <c r="G28" s="36"/>
    </row>
    <row r="29" customFormat="false" ht="15" hidden="false" customHeight="false" outlineLevel="0" collapsed="false">
      <c r="B29" s="32" t="s">
        <v>207</v>
      </c>
      <c r="C29" s="33" t="s">
        <v>322</v>
      </c>
      <c r="D29" s="25"/>
      <c r="E29" s="43" t="n">
        <v>1</v>
      </c>
      <c r="F29" s="34" t="n">
        <f aca="false">ROUND(D29*E29,2)</f>
        <v>0</v>
      </c>
      <c r="G29" s="36"/>
    </row>
    <row r="30" customFormat="false" ht="15" hidden="false" customHeight="false" outlineLevel="0" collapsed="false">
      <c r="B30" s="32" t="s">
        <v>210</v>
      </c>
      <c r="C30" s="33" t="s">
        <v>323</v>
      </c>
      <c r="D30" s="25"/>
      <c r="E30" s="43" t="n">
        <v>1</v>
      </c>
      <c r="F30" s="34" t="n">
        <f aca="false">ROUND(D30*E30,2)</f>
        <v>0</v>
      </c>
      <c r="G30" s="36"/>
    </row>
    <row r="31" customFormat="false" ht="15" hidden="false" customHeight="false" outlineLevel="0" collapsed="false">
      <c r="B31" s="32" t="s">
        <v>213</v>
      </c>
      <c r="C31" s="33" t="s">
        <v>324</v>
      </c>
      <c r="D31" s="25"/>
      <c r="E31" s="43" t="n">
        <v>1</v>
      </c>
      <c r="F31" s="34" t="n">
        <f aca="false">ROUND(D31*E31,2)</f>
        <v>0</v>
      </c>
      <c r="G31" s="36" t="s">
        <v>325</v>
      </c>
    </row>
    <row r="32" customFormat="false" ht="15" hidden="false" customHeight="false" outlineLevel="0" collapsed="false">
      <c r="B32" s="32" t="s">
        <v>216</v>
      </c>
      <c r="C32" s="33" t="s">
        <v>326</v>
      </c>
      <c r="D32" s="25"/>
      <c r="E32" s="33"/>
      <c r="F32" s="33"/>
      <c r="G32" s="36"/>
    </row>
    <row r="33" customFormat="false" ht="15" hidden="false" customHeight="false" outlineLevel="0" collapsed="false">
      <c r="B33" s="32" t="s">
        <v>327</v>
      </c>
      <c r="C33" s="33" t="s">
        <v>328</v>
      </c>
      <c r="D33" s="25"/>
      <c r="E33" s="43" t="n">
        <v>1</v>
      </c>
      <c r="F33" s="34" t="n">
        <f aca="false">ROUND(D33*E33,2)</f>
        <v>0</v>
      </c>
      <c r="G33" s="36"/>
    </row>
    <row r="34" customFormat="false" ht="15" hidden="false" customHeight="false" outlineLevel="0" collapsed="false">
      <c r="B34" s="32" t="s">
        <v>329</v>
      </c>
      <c r="C34" s="33" t="s">
        <v>330</v>
      </c>
      <c r="D34" s="25"/>
      <c r="E34" s="33"/>
      <c r="F34" s="33"/>
      <c r="G34" s="36"/>
    </row>
    <row r="35" customFormat="false" ht="15" hidden="false" customHeight="false" outlineLevel="0" collapsed="false">
      <c r="B35" s="32" t="s">
        <v>331</v>
      </c>
      <c r="C35" s="33" t="s">
        <v>332</v>
      </c>
      <c r="D35" s="25"/>
      <c r="E35" s="33"/>
      <c r="F35" s="33"/>
      <c r="G35" s="36"/>
    </row>
    <row r="36" customFormat="false" ht="15" hidden="false" customHeight="false" outlineLevel="0" collapsed="false">
      <c r="B36" s="32" t="s">
        <v>225</v>
      </c>
      <c r="C36" s="33" t="s">
        <v>333</v>
      </c>
      <c r="D36" s="25"/>
      <c r="E36" s="33"/>
      <c r="F36" s="33"/>
      <c r="G36" s="36"/>
    </row>
    <row r="37" customFormat="false" ht="15" hidden="false" customHeight="false" outlineLevel="0" collapsed="false">
      <c r="B37" s="32" t="s">
        <v>228</v>
      </c>
      <c r="C37" s="33" t="s">
        <v>334</v>
      </c>
      <c r="D37" s="25"/>
      <c r="E37" s="33"/>
      <c r="F37" s="33"/>
      <c r="G37" s="36" t="s">
        <v>335</v>
      </c>
    </row>
    <row r="38" customFormat="false" ht="15" hidden="false" customHeight="false" outlineLevel="0" collapsed="false">
      <c r="B38" s="32" t="s">
        <v>230</v>
      </c>
      <c r="C38" s="33" t="s">
        <v>336</v>
      </c>
      <c r="D38" s="25"/>
      <c r="E38" s="33"/>
      <c r="F38" s="33"/>
      <c r="G38" s="36"/>
    </row>
    <row r="39" customFormat="false" ht="15" hidden="false" customHeight="false" outlineLevel="0" collapsed="false">
      <c r="B39" s="32" t="s">
        <v>233</v>
      </c>
      <c r="C39" s="33" t="s">
        <v>337</v>
      </c>
      <c r="D39" s="34" t="n">
        <f aca="false">'3-SchC'!$D$14</f>
        <v>0</v>
      </c>
      <c r="E39" s="33"/>
      <c r="F39" s="33"/>
      <c r="G39" s="36" t="s">
        <v>338</v>
      </c>
    </row>
    <row r="40" customFormat="false" ht="15" hidden="false" customHeight="false" outlineLevel="0" collapsed="false">
      <c r="B40" s="32" t="s">
        <v>236</v>
      </c>
      <c r="C40" s="33" t="s">
        <v>339</v>
      </c>
      <c r="D40" s="25"/>
      <c r="E40" s="33"/>
      <c r="F40" s="34" t="n">
        <f aca="false">0</f>
        <v>0</v>
      </c>
      <c r="G40" s="36"/>
    </row>
    <row r="41" customFormat="false" ht="15" hidden="false" customHeight="false" outlineLevel="0" collapsed="false">
      <c r="B41" s="32" t="s">
        <v>239</v>
      </c>
      <c r="C41" s="33" t="s">
        <v>340</v>
      </c>
      <c r="D41" s="25"/>
      <c r="E41" s="33"/>
      <c r="F41" s="34" t="n">
        <f aca="false">0</f>
        <v>0</v>
      </c>
      <c r="G41" s="36"/>
    </row>
    <row r="42" customFormat="false" ht="15" hidden="false" customHeight="false" outlineLevel="0" collapsed="false">
      <c r="B42" s="37" t="s">
        <v>242</v>
      </c>
      <c r="C42" s="38" t="s">
        <v>341</v>
      </c>
      <c r="D42" s="29" t="n">
        <f aca="false">SUM(D27:D39)</f>
        <v>0</v>
      </c>
      <c r="E42" s="33"/>
      <c r="F42" s="33"/>
      <c r="G42" s="36" t="s">
        <v>342</v>
      </c>
    </row>
    <row r="43" customFormat="false" ht="15" hidden="false" customHeight="false" outlineLevel="0" collapsed="false">
      <c r="B43" s="37" t="s">
        <v>245</v>
      </c>
      <c r="C43" s="38" t="s">
        <v>343</v>
      </c>
      <c r="D43" s="33"/>
      <c r="E43" s="33"/>
      <c r="F43" s="29" t="n">
        <f aca="false">SUM(F27:F41)</f>
        <v>0</v>
      </c>
      <c r="G43" s="36" t="s">
        <v>344</v>
      </c>
    </row>
    <row r="45" customFormat="false" ht="30" hidden="false" customHeight="true" outlineLevel="0" collapsed="false">
      <c r="C45" s="33" t="s">
        <v>345</v>
      </c>
      <c r="D45" s="22" t="n">
        <f aca="false">SUMIF('1-TrialBalance'!$D$39:$D$118,"DIVIDENDS",'1-TrialBalance'!$C$39:$C$118)</f>
        <v>0</v>
      </c>
      <c r="G45" s="44" t="s">
        <v>346</v>
      </c>
    </row>
  </sheetData>
  <mergeCells count="8">
    <mergeCell ref="A1:G1"/>
    <mergeCell ref="A2:G2"/>
    <mergeCell ref="A4:G4"/>
    <mergeCell ref="C5:G5"/>
    <mergeCell ref="D11:G11"/>
    <mergeCell ref="F12:G12"/>
    <mergeCell ref="D15:G15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6" min="4" style="0" width="19"/>
    <col collapsed="false" customWidth="true" hidden="false" outlineLevel="0" max="7" min="7" style="0" width="54"/>
  </cols>
  <sheetData>
    <row r="1" customFormat="false" ht="30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348</v>
      </c>
      <c r="B2" s="2"/>
      <c r="C2" s="2"/>
      <c r="D2" s="2"/>
      <c r="E2" s="2"/>
      <c r="F2" s="2"/>
      <c r="G2" s="2"/>
    </row>
    <row r="4" customFormat="false" ht="18.75" hidden="false" customHeight="true" outlineLevel="0" collapsed="false">
      <c r="A4" s="11" t="s">
        <v>349</v>
      </c>
      <c r="B4" s="11"/>
      <c r="C4" s="11"/>
      <c r="D4" s="11"/>
      <c r="E4" s="11"/>
      <c r="F4" s="11"/>
      <c r="G4" s="11"/>
    </row>
    <row r="5" customFormat="false" ht="15" hidden="false" customHeight="false" outlineLevel="0" collapsed="false">
      <c r="B5" s="28" t="s">
        <v>167</v>
      </c>
      <c r="C5" s="28" t="s">
        <v>168</v>
      </c>
      <c r="D5" s="28" t="s">
        <v>350</v>
      </c>
      <c r="E5" s="28" t="s">
        <v>351</v>
      </c>
      <c r="F5" s="28" t="s">
        <v>352</v>
      </c>
      <c r="G5" s="28" t="s">
        <v>46</v>
      </c>
    </row>
    <row r="6" customFormat="false" ht="15" hidden="false" customHeight="false" outlineLevel="0" collapsed="false">
      <c r="B6" s="32" t="s">
        <v>172</v>
      </c>
      <c r="C6" s="33" t="s">
        <v>353</v>
      </c>
      <c r="D6" s="25"/>
      <c r="E6" s="25"/>
      <c r="F6" s="25"/>
      <c r="G6" s="36" t="s">
        <v>354</v>
      </c>
    </row>
    <row r="7" customFormat="false" ht="15" hidden="false" customHeight="false" outlineLevel="0" collapsed="false">
      <c r="B7" s="32" t="s">
        <v>176</v>
      </c>
      <c r="C7" s="33" t="s">
        <v>355</v>
      </c>
      <c r="D7" s="25"/>
      <c r="E7" s="25"/>
      <c r="F7" s="25"/>
      <c r="G7" s="36" t="s">
        <v>356</v>
      </c>
    </row>
    <row r="8" customFormat="false" ht="15" hidden="false" customHeight="false" outlineLevel="0" collapsed="false">
      <c r="B8" s="32" t="s">
        <v>181</v>
      </c>
      <c r="C8" s="33" t="s">
        <v>357</v>
      </c>
      <c r="D8" s="25"/>
      <c r="E8" s="25"/>
      <c r="F8" s="25"/>
      <c r="G8" s="36" t="s">
        <v>358</v>
      </c>
    </row>
    <row r="9" customFormat="false" ht="15" hidden="false" customHeight="false" outlineLevel="0" collapsed="false">
      <c r="B9" s="32" t="s">
        <v>184</v>
      </c>
      <c r="C9" s="33" t="s">
        <v>359</v>
      </c>
      <c r="D9" s="25"/>
      <c r="E9" s="25"/>
      <c r="F9" s="25"/>
      <c r="G9" s="36" t="s">
        <v>360</v>
      </c>
    </row>
    <row r="10" customFormat="false" ht="15" hidden="false" customHeight="false" outlineLevel="0" collapsed="false">
      <c r="B10" s="32" t="s">
        <v>186</v>
      </c>
      <c r="C10" s="33" t="s">
        <v>361</v>
      </c>
      <c r="D10" s="33"/>
      <c r="E10" s="33"/>
      <c r="F10" s="25"/>
      <c r="G10" s="36"/>
    </row>
    <row r="11" customFormat="false" ht="15" hidden="false" customHeight="false" outlineLevel="0" collapsed="false">
      <c r="B11" s="32" t="s">
        <v>189</v>
      </c>
      <c r="C11" s="33" t="s">
        <v>362</v>
      </c>
      <c r="D11" s="33"/>
      <c r="E11" s="33"/>
      <c r="F11" s="25"/>
      <c r="G11" s="36"/>
    </row>
    <row r="12" customFormat="false" ht="30" hidden="false" customHeight="true" outlineLevel="0" collapsed="false">
      <c r="B12" s="37" t="s">
        <v>192</v>
      </c>
      <c r="C12" s="38" t="s">
        <v>363</v>
      </c>
      <c r="D12" s="33"/>
      <c r="E12" s="33"/>
      <c r="F12" s="25"/>
      <c r="G12" s="44" t="s">
        <v>364</v>
      </c>
    </row>
    <row r="13" customFormat="false" ht="15" hidden="false" customHeight="false" outlineLevel="0" collapsed="false">
      <c r="B13" s="37" t="s">
        <v>195</v>
      </c>
      <c r="C13" s="38" t="s">
        <v>365</v>
      </c>
      <c r="D13" s="29" t="n">
        <f aca="false">SUM(D6:D9)</f>
        <v>0</v>
      </c>
      <c r="E13" s="29" t="n">
        <f aca="false">SUM(E6:E9)</f>
        <v>0</v>
      </c>
      <c r="F13" s="29" t="n">
        <f aca="false">SUM(F6:F12)</f>
        <v>0</v>
      </c>
      <c r="G13" s="36"/>
    </row>
    <row r="15" customFormat="false" ht="18.75" hidden="false" customHeight="true" outlineLevel="0" collapsed="false">
      <c r="A15" s="11" t="s">
        <v>366</v>
      </c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B16" s="28" t="s">
        <v>167</v>
      </c>
      <c r="C16" s="28" t="s">
        <v>168</v>
      </c>
      <c r="D16" s="28" t="s">
        <v>350</v>
      </c>
      <c r="E16" s="28" t="s">
        <v>351</v>
      </c>
      <c r="F16" s="28" t="s">
        <v>352</v>
      </c>
      <c r="G16" s="28" t="s">
        <v>46</v>
      </c>
    </row>
    <row r="17" customFormat="false" ht="15" hidden="false" customHeight="false" outlineLevel="0" collapsed="false">
      <c r="B17" s="32" t="s">
        <v>367</v>
      </c>
      <c r="C17" s="33" t="s">
        <v>368</v>
      </c>
      <c r="D17" s="25"/>
      <c r="E17" s="25"/>
      <c r="F17" s="25"/>
      <c r="G17" s="36"/>
    </row>
    <row r="18" customFormat="false" ht="15" hidden="false" customHeight="false" outlineLevel="0" collapsed="false">
      <c r="B18" s="32" t="s">
        <v>369</v>
      </c>
      <c r="C18" s="33" t="s">
        <v>370</v>
      </c>
      <c r="D18" s="25"/>
      <c r="E18" s="25"/>
      <c r="F18" s="25"/>
      <c r="G18" s="36"/>
    </row>
    <row r="19" customFormat="false" ht="15" hidden="false" customHeight="false" outlineLevel="0" collapsed="false">
      <c r="B19" s="32" t="s">
        <v>201</v>
      </c>
      <c r="C19" s="33" t="s">
        <v>371</v>
      </c>
      <c r="D19" s="25"/>
      <c r="E19" s="25"/>
      <c r="F19" s="25"/>
      <c r="G19" s="36"/>
    </row>
    <row r="20" customFormat="false" ht="15" hidden="false" customHeight="false" outlineLevel="0" collapsed="false">
      <c r="B20" s="32" t="s">
        <v>204</v>
      </c>
      <c r="C20" s="33" t="s">
        <v>372</v>
      </c>
      <c r="D20" s="25"/>
      <c r="E20" s="25"/>
      <c r="F20" s="25"/>
      <c r="G20" s="36"/>
    </row>
    <row r="21" customFormat="false" ht="15" hidden="false" customHeight="false" outlineLevel="0" collapsed="false">
      <c r="B21" s="32" t="s">
        <v>207</v>
      </c>
      <c r="C21" s="33" t="s">
        <v>373</v>
      </c>
      <c r="D21" s="33"/>
      <c r="E21" s="33"/>
      <c r="F21" s="25"/>
      <c r="G21" s="36"/>
    </row>
    <row r="22" customFormat="false" ht="15" hidden="false" customHeight="false" outlineLevel="0" collapsed="false">
      <c r="B22" s="32" t="s">
        <v>210</v>
      </c>
      <c r="C22" s="33" t="s">
        <v>374</v>
      </c>
      <c r="D22" s="33"/>
      <c r="E22" s="33"/>
      <c r="F22" s="25"/>
      <c r="G22" s="36"/>
    </row>
    <row r="23" customFormat="false" ht="15" hidden="false" customHeight="false" outlineLevel="0" collapsed="false">
      <c r="B23" s="32" t="s">
        <v>213</v>
      </c>
      <c r="C23" s="33" t="s">
        <v>375</v>
      </c>
      <c r="D23" s="33"/>
      <c r="E23" s="33"/>
      <c r="F23" s="25"/>
      <c r="G23" s="36"/>
    </row>
    <row r="24" customFormat="false" ht="15" hidden="false" customHeight="false" outlineLevel="0" collapsed="false">
      <c r="B24" s="32" t="s">
        <v>216</v>
      </c>
      <c r="C24" s="33" t="s">
        <v>376</v>
      </c>
      <c r="D24" s="33"/>
      <c r="E24" s="33"/>
      <c r="F24" s="25"/>
      <c r="G24" s="36" t="s">
        <v>377</v>
      </c>
    </row>
    <row r="25" customFormat="false" ht="15" hidden="false" customHeight="false" outlineLevel="0" collapsed="false">
      <c r="B25" s="37" t="s">
        <v>219</v>
      </c>
      <c r="C25" s="38" t="s">
        <v>378</v>
      </c>
      <c r="D25" s="29" t="n">
        <f aca="false">SUM(D17:D20)</f>
        <v>0</v>
      </c>
      <c r="E25" s="29" t="n">
        <f aca="false">SUM(E17:E20)</f>
        <v>0</v>
      </c>
      <c r="F25" s="29" t="n">
        <f aca="false">SUM(F17:F24)</f>
        <v>0</v>
      </c>
      <c r="G25" s="36"/>
    </row>
    <row r="27" customFormat="false" ht="18.75" hidden="false" customHeight="true" outlineLevel="0" collapsed="false">
      <c r="A27" s="11" t="s">
        <v>379</v>
      </c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32" t="s">
        <v>222</v>
      </c>
      <c r="C28" s="33" t="s">
        <v>380</v>
      </c>
      <c r="F28" s="34" t="n">
        <f aca="false">IF(AND(F13&gt;0,F25&lt;0),MAX(0,F13+F25),0)</f>
        <v>0</v>
      </c>
    </row>
    <row r="29" customFormat="false" ht="15" hidden="false" customHeight="false" outlineLevel="0" collapsed="false">
      <c r="B29" s="32" t="s">
        <v>225</v>
      </c>
      <c r="C29" s="33" t="s">
        <v>381</v>
      </c>
      <c r="F29" s="34" t="n">
        <f aca="false">IF(AND(F25&gt;0,F13&lt;0),MAX(0,F13+F25),IF(AND(F25&gt;0,F13&gt;=0),F25,0))</f>
        <v>0</v>
      </c>
    </row>
    <row r="30" customFormat="false" ht="15" hidden="false" customHeight="false" outlineLevel="0" collapsed="false">
      <c r="B30" s="37" t="s">
        <v>228</v>
      </c>
      <c r="C30" s="38" t="s">
        <v>382</v>
      </c>
      <c r="F30" s="29" t="n">
        <f aca="false">MAX(0,F13+F25)</f>
        <v>0</v>
      </c>
      <c r="G30" s="45" t="s">
        <v>383</v>
      </c>
    </row>
    <row r="32" customFormat="false" ht="18.75" hidden="false" customHeight="true" outlineLevel="0" collapsed="false">
      <c r="A32" s="11" t="s">
        <v>384</v>
      </c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C33" s="38" t="s">
        <v>385</v>
      </c>
      <c r="F33" s="29" t="n">
        <f aca="false">F13+F25</f>
        <v>0</v>
      </c>
    </row>
    <row r="34" customFormat="false" ht="15" hidden="false" customHeight="false" outlineLevel="0" collapsed="false">
      <c r="C34" s="33" t="s">
        <v>386</v>
      </c>
      <c r="F34" s="34" t="n">
        <f aca="false">MAX(0,F13+F25)</f>
        <v>0</v>
      </c>
      <c r="G34" s="36" t="s">
        <v>387</v>
      </c>
    </row>
    <row r="35" customFormat="false" ht="15" hidden="false" customHeight="false" outlineLevel="0" collapsed="false">
      <c r="C35" s="38" t="s">
        <v>388</v>
      </c>
      <c r="F35" s="29" t="n">
        <f aca="false">MAX(0,-(F13+F25))</f>
        <v>-0</v>
      </c>
      <c r="G35" s="36" t="s">
        <v>389</v>
      </c>
    </row>
    <row r="37" customFormat="false" ht="15" hidden="false" customHeight="false" outlineLevel="0" collapsed="false">
      <c r="C37" s="33" t="s">
        <v>390</v>
      </c>
      <c r="F37" s="22" t="n">
        <f aca="false">'0-Client'!$C$22</f>
        <v>0</v>
      </c>
    </row>
    <row r="38" customFormat="false" ht="15" hidden="false" customHeight="false" outlineLevel="0" collapsed="false">
      <c r="C38" s="33" t="s">
        <v>391</v>
      </c>
      <c r="F38" s="34" t="n">
        <f aca="false">MIN(N('0-Client'!$C$22),MAX(0,F13+F25))</f>
        <v>0</v>
      </c>
      <c r="G38" s="45" t="s">
        <v>392</v>
      </c>
    </row>
    <row r="39" customFormat="false" ht="15" hidden="false" customHeight="false" outlineLevel="0" collapsed="false">
      <c r="C39" s="33" t="s">
        <v>393</v>
      </c>
      <c r="F39" s="34" t="n">
        <f aca="false">MAX(0,-(F13+F25))</f>
        <v>-0</v>
      </c>
    </row>
    <row r="40" customFormat="false" ht="42" hidden="false" customHeight="true" outlineLevel="0" collapsed="false">
      <c r="C40" s="46" t="s">
        <v>394</v>
      </c>
      <c r="F40" s="29" t="n">
        <f aca="false">N('0-Client'!$C$22)-$F$38+MAX(0,-(F13+F25))</f>
        <v>0</v>
      </c>
      <c r="G40" s="47" t="s">
        <v>395</v>
      </c>
    </row>
    <row r="41" customFormat="false" ht="15" hidden="false" customHeight="false" outlineLevel="0" collapsed="false">
      <c r="C41" s="33" t="s">
        <v>396</v>
      </c>
      <c r="F41" s="48" t="str">
        <f aca="false">IF(N('0-Client'!$C$23)=0,"—",N('0-Client'!$C$23)+5)</f>
        <v>—</v>
      </c>
    </row>
  </sheetData>
  <mergeCells count="6">
    <mergeCell ref="A1:G1"/>
    <mergeCell ref="A2:G2"/>
    <mergeCell ref="A4:G4"/>
    <mergeCell ref="A15:G15"/>
    <mergeCell ref="A27:G27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5" min="3" style="0" width="19"/>
    <col collapsed="false" customWidth="true" hidden="false" outlineLevel="0" max="6" min="6" style="0" width="13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397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398</v>
      </c>
      <c r="B2" s="2"/>
      <c r="C2" s="2"/>
      <c r="D2" s="2"/>
      <c r="E2" s="2"/>
      <c r="F2" s="2"/>
      <c r="G2" s="2"/>
    </row>
    <row r="4" customFormat="false" ht="42" hidden="false" customHeight="true" outlineLevel="0" collapsed="false">
      <c r="B4" s="4" t="s">
        <v>399</v>
      </c>
      <c r="C4" s="4"/>
      <c r="D4" s="4"/>
      <c r="E4" s="4"/>
      <c r="F4" s="4"/>
      <c r="G4" s="4"/>
    </row>
    <row r="5" customFormat="false" ht="18.75" hidden="false" customHeight="true" outlineLevel="0" collapsed="false">
      <c r="A5" s="11" t="s">
        <v>400</v>
      </c>
      <c r="B5" s="11"/>
      <c r="C5" s="11"/>
      <c r="D5" s="11"/>
      <c r="E5" s="11"/>
      <c r="F5" s="11"/>
      <c r="G5" s="11"/>
    </row>
    <row r="6" customFormat="false" ht="27.75" hidden="false" customHeight="true" outlineLevel="0" collapsed="false">
      <c r="B6" s="19"/>
      <c r="C6" s="49" t="s">
        <v>401</v>
      </c>
      <c r="D6" s="49"/>
      <c r="E6" s="17" t="s">
        <v>402</v>
      </c>
      <c r="F6" s="17"/>
      <c r="G6" s="17"/>
    </row>
    <row r="7" customFormat="false" ht="27.75" hidden="false" customHeight="true" outlineLevel="0" collapsed="false">
      <c r="B7" s="19"/>
      <c r="C7" s="49" t="s">
        <v>403</v>
      </c>
      <c r="D7" s="49"/>
      <c r="E7" s="17" t="s">
        <v>404</v>
      </c>
      <c r="F7" s="17"/>
      <c r="G7" s="17"/>
    </row>
    <row r="8" customFormat="false" ht="27.75" hidden="false" customHeight="true" outlineLevel="0" collapsed="false">
      <c r="B8" s="19"/>
      <c r="C8" s="49" t="s">
        <v>405</v>
      </c>
      <c r="D8" s="49"/>
      <c r="E8" s="17" t="s">
        <v>406</v>
      </c>
      <c r="F8" s="17"/>
      <c r="G8" s="17"/>
    </row>
    <row r="9" customFormat="false" ht="15" hidden="false" customHeight="false" outlineLevel="0" collapsed="false">
      <c r="C9" s="18" t="s">
        <v>407</v>
      </c>
      <c r="D9" s="19"/>
      <c r="E9" s="10" t="s">
        <v>408</v>
      </c>
      <c r="F9" s="10"/>
      <c r="G9" s="10"/>
    </row>
    <row r="11" customFormat="false" ht="18.75" hidden="false" customHeight="true" outlineLevel="0" collapsed="false">
      <c r="A11" s="11" t="s">
        <v>409</v>
      </c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B12" s="28" t="s">
        <v>410</v>
      </c>
      <c r="C12" s="28" t="s">
        <v>411</v>
      </c>
      <c r="D12" s="28" t="s">
        <v>412</v>
      </c>
      <c r="E12" s="28" t="s">
        <v>413</v>
      </c>
      <c r="F12" s="28" t="s">
        <v>414</v>
      </c>
      <c r="G12" s="28" t="s">
        <v>415</v>
      </c>
    </row>
    <row r="13" customFormat="false" ht="15" hidden="false" customHeight="false" outlineLevel="0" collapsed="false">
      <c r="B13" s="33" t="s">
        <v>416</v>
      </c>
      <c r="C13" s="19"/>
      <c r="D13" s="19"/>
      <c r="E13" s="33"/>
      <c r="F13" s="33"/>
      <c r="G13" s="33"/>
    </row>
    <row r="14" customFormat="false" ht="15" hidden="false" customHeight="false" outlineLevel="0" collapsed="false">
      <c r="B14" s="33" t="s">
        <v>417</v>
      </c>
      <c r="C14" s="25"/>
      <c r="D14" s="25"/>
      <c r="E14" s="34" t="n">
        <f aca="false">N(C14)+N(D14)</f>
        <v>0</v>
      </c>
      <c r="G14" s="44" t="s">
        <v>418</v>
      </c>
    </row>
    <row r="15" customFormat="false" ht="30" hidden="false" customHeight="true" outlineLevel="0" collapsed="false">
      <c r="B15" s="33" t="s">
        <v>419</v>
      </c>
      <c r="C15" s="25"/>
      <c r="D15" s="25"/>
      <c r="E15" s="34" t="n">
        <f aca="false">N(C15)+N(D15)</f>
        <v>0</v>
      </c>
      <c r="G15" s="44" t="s">
        <v>420</v>
      </c>
    </row>
    <row r="16" customFormat="false" ht="15" hidden="false" customHeight="false" outlineLevel="0" collapsed="false">
      <c r="B16" s="33" t="s">
        <v>421</v>
      </c>
      <c r="C16" s="25"/>
      <c r="D16" s="25"/>
      <c r="E16" s="34" t="n">
        <f aca="false">N(C16)+N(D16)</f>
        <v>0</v>
      </c>
      <c r="G16" s="44" t="s">
        <v>422</v>
      </c>
    </row>
    <row r="17" customFormat="false" ht="15" hidden="false" customHeight="false" outlineLevel="0" collapsed="false">
      <c r="B17" s="33" t="s">
        <v>423</v>
      </c>
      <c r="C17" s="25"/>
      <c r="D17" s="25"/>
      <c r="E17" s="34" t="n">
        <f aca="false">N(C17)+N(D17)</f>
        <v>0</v>
      </c>
      <c r="G17" s="44" t="s">
        <v>424</v>
      </c>
    </row>
    <row r="18" customFormat="false" ht="30" hidden="false" customHeight="true" outlineLevel="0" collapsed="false">
      <c r="B18" s="38" t="s">
        <v>425</v>
      </c>
      <c r="C18" s="25"/>
      <c r="D18" s="25"/>
      <c r="E18" s="29" t="n">
        <f aca="false">N(C18)+N(D18)</f>
        <v>0</v>
      </c>
      <c r="G18" s="44" t="s">
        <v>426</v>
      </c>
    </row>
    <row r="19" customFormat="false" ht="30" hidden="false" customHeight="true" outlineLevel="0" collapsed="false">
      <c r="B19" s="38" t="s">
        <v>427</v>
      </c>
      <c r="C19" s="25"/>
      <c r="D19" s="25"/>
      <c r="E19" s="29" t="n">
        <f aca="false">N(C19)+N(D19)</f>
        <v>0</v>
      </c>
      <c r="G19" s="44" t="s">
        <v>428</v>
      </c>
    </row>
    <row r="20" customFormat="false" ht="15" hidden="false" customHeight="false" outlineLevel="0" collapsed="false">
      <c r="B20" s="38" t="s">
        <v>429</v>
      </c>
      <c r="C20" s="29" t="n">
        <f aca="false">N(C14)+N(C15)+N(C16)-N(C17)+N(C18)</f>
        <v>0</v>
      </c>
      <c r="D20" s="29" t="n">
        <f aca="false">N(D14)+N(D15)+N(D16)-N(D17)+N(D18)</f>
        <v>0</v>
      </c>
      <c r="E20" s="29" t="n">
        <f aca="false">N(E14)+N(E15)+N(E16)-N(E17)+N(E18)</f>
        <v>0</v>
      </c>
      <c r="G20" s="36" t="s">
        <v>430</v>
      </c>
    </row>
    <row r="21" customFormat="false" ht="43.5" hidden="false" customHeight="true" outlineLevel="0" collapsed="false">
      <c r="B21" s="38" t="s">
        <v>431</v>
      </c>
      <c r="C21" s="37" t="str">
        <f aca="false">IF(AND(N(C20)=0,N(C19)=0),"—",IF(ABS(N(C20)-N(C19))&lt;0.005,"PASS","CHECK"))</f>
        <v>—</v>
      </c>
      <c r="D21" s="37" t="str">
        <f aca="false">IF(AND(N(D20)=0,N(D19)=0),"—",IF(ABS(N(D20)-N(D19))&lt;0.005,"PASS","CHECK"))</f>
        <v>—</v>
      </c>
      <c r="E21" s="37" t="str">
        <f aca="false">IF(AND(N(E20)=0,N(E19)=0),"—",IF(ABS(N(E20)-N(E19))&lt;0.005,"PASS","CHECK"))</f>
        <v>—</v>
      </c>
      <c r="G21" s="47" t="s">
        <v>432</v>
      </c>
    </row>
    <row r="22" customFormat="false" ht="15" hidden="false" customHeight="false" outlineLevel="0" collapsed="false">
      <c r="B22" s="33" t="s">
        <v>433</v>
      </c>
      <c r="C22" s="33"/>
      <c r="D22" s="33"/>
      <c r="E22" s="25"/>
      <c r="F22" s="37" t="str">
        <f aca="false">IF(AND(N(E22)=0,N(E16)=0),"—",IF(ABS(N(E22)-N(E16))&lt;0.005,"PASS","CHECK"))</f>
        <v>—</v>
      </c>
      <c r="G22" s="36" t="s">
        <v>434</v>
      </c>
    </row>
    <row r="23" customFormat="false" ht="15" hidden="false" customHeight="false" outlineLevel="0" collapsed="false">
      <c r="B23" s="33" t="s">
        <v>435</v>
      </c>
      <c r="C23" s="33"/>
      <c r="D23" s="33"/>
      <c r="E23" s="25"/>
      <c r="F23" s="37" t="str">
        <f aca="false">IF(AND(N(E23)=0,N(E17)=0),"—",IF(ABS(N(E23)-N(E17))&lt;0.005,"PASS","CHECK"))</f>
        <v>—</v>
      </c>
      <c r="G23" s="36" t="s">
        <v>436</v>
      </c>
    </row>
    <row r="24" customFormat="false" ht="15" hidden="false" customHeight="false" outlineLevel="0" collapsed="false">
      <c r="B24" s="33" t="s">
        <v>437</v>
      </c>
      <c r="C24" s="33"/>
      <c r="D24" s="33"/>
      <c r="E24" s="25"/>
      <c r="F24" s="37" t="str">
        <f aca="false">IF(AND(N(E24)=0,N(E18)=0),"—",IF(ABS(N(E24)-N(E18))&lt;0.005,"PASS","CHECK"))</f>
        <v>—</v>
      </c>
      <c r="G24" s="36" t="s">
        <v>438</v>
      </c>
    </row>
    <row r="26" customFormat="false" ht="18.75" hidden="false" customHeight="true" outlineLevel="0" collapsed="false">
      <c r="A26" s="11" t="s">
        <v>439</v>
      </c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B27" s="33" t="s">
        <v>440</v>
      </c>
      <c r="E27" s="22" t="n">
        <f aca="false">E18</f>
        <v>0</v>
      </c>
    </row>
    <row r="28" customFormat="false" ht="15" hidden="false" customHeight="false" outlineLevel="0" collapsed="false">
      <c r="B28" s="33" t="s">
        <v>441</v>
      </c>
      <c r="E28" s="25"/>
      <c r="G28" s="36" t="s">
        <v>442</v>
      </c>
    </row>
    <row r="29" customFormat="false" ht="15" hidden="false" customHeight="false" outlineLevel="0" collapsed="false">
      <c r="B29" s="46" t="s">
        <v>443</v>
      </c>
      <c r="E29" s="29" t="n">
        <f aca="false">E27-N(E28)</f>
        <v>0</v>
      </c>
      <c r="G29" s="45" t="s">
        <v>444</v>
      </c>
    </row>
    <row r="31" customFormat="false" ht="18.75" hidden="false" customHeight="true" outlineLevel="0" collapsed="false">
      <c r="A31" s="11" t="s">
        <v>445</v>
      </c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B32" s="33" t="s">
        <v>446</v>
      </c>
      <c r="E32" s="22" t="n">
        <f aca="false">'0-Client'!$C$25</f>
        <v>0</v>
      </c>
    </row>
    <row r="33" customFormat="false" ht="15" hidden="false" customHeight="false" outlineLevel="0" collapsed="false">
      <c r="B33" s="33" t="s">
        <v>447</v>
      </c>
      <c r="E33" s="22" t="n">
        <f aca="false">E29</f>
        <v>0</v>
      </c>
    </row>
    <row r="34" customFormat="false" ht="15" hidden="false" customHeight="false" outlineLevel="0" collapsed="false">
      <c r="B34" s="38" t="s">
        <v>448</v>
      </c>
      <c r="E34" s="29" t="n">
        <f aca="false">E32+E33</f>
        <v>0</v>
      </c>
    </row>
    <row r="35" customFormat="false" ht="15" hidden="false" customHeight="false" outlineLevel="0" collapsed="false">
      <c r="B35" s="33" t="s">
        <v>449</v>
      </c>
      <c r="E35" s="25"/>
      <c r="G35" s="36" t="s">
        <v>450</v>
      </c>
    </row>
    <row r="36" customFormat="false" ht="42" hidden="false" customHeight="true" outlineLevel="0" collapsed="false">
      <c r="B36" s="46" t="s">
        <v>451</v>
      </c>
      <c r="E36" s="29" t="n">
        <f aca="false">E35-E34</f>
        <v>0</v>
      </c>
      <c r="F36" s="50" t="str">
        <f aca="false">IF(N(E35)=0,"—",IF(ABS(E36)&lt;MAX(100,ABS(E35)*0.005),"OK","CHECK"))</f>
        <v>—</v>
      </c>
      <c r="G36" s="44" t="s">
        <v>452</v>
      </c>
    </row>
    <row r="37" customFormat="false" ht="15" hidden="false" customHeight="false" outlineLevel="0" collapsed="false">
      <c r="B37" s="33" t="s">
        <v>453</v>
      </c>
      <c r="E37" s="25"/>
    </row>
    <row r="38" customFormat="false" ht="15" hidden="false" customHeight="false" outlineLevel="0" collapsed="false">
      <c r="B38" s="33" t="s">
        <v>454</v>
      </c>
      <c r="E38" s="25"/>
    </row>
    <row r="40" customFormat="false" ht="18.75" hidden="false" customHeight="true" outlineLevel="0" collapsed="false">
      <c r="A40" s="11" t="s">
        <v>455</v>
      </c>
      <c r="B40" s="11"/>
      <c r="C40" s="11"/>
      <c r="D40" s="11"/>
      <c r="E40" s="11"/>
      <c r="F40" s="11"/>
      <c r="G40" s="11"/>
    </row>
    <row r="41" customFormat="false" ht="25.5" hidden="false" customHeight="true" outlineLevel="0" collapsed="false">
      <c r="B41" s="17" t="s">
        <v>456</v>
      </c>
      <c r="C41" s="17"/>
      <c r="D41" s="17"/>
      <c r="E41" s="17"/>
      <c r="F41" s="17"/>
      <c r="G41" s="17"/>
    </row>
    <row r="42" customFormat="false" ht="15" hidden="false" customHeight="false" outlineLevel="0" collapsed="false">
      <c r="B42" s="28" t="s">
        <v>457</v>
      </c>
      <c r="C42" s="28" t="s">
        <v>458</v>
      </c>
      <c r="D42" s="28" t="s">
        <v>459</v>
      </c>
      <c r="E42" s="28" t="s">
        <v>460</v>
      </c>
      <c r="F42" s="28" t="s">
        <v>461</v>
      </c>
      <c r="G42" s="28"/>
    </row>
    <row r="43" customFormat="false" ht="15" hidden="false" customHeight="false" outlineLevel="0" collapsed="false">
      <c r="B43" s="33" t="s">
        <v>462</v>
      </c>
      <c r="C43" s="25"/>
      <c r="D43" s="34" t="n">
        <f aca="false">N(E28)</f>
        <v>0</v>
      </c>
      <c r="E43" s="34" t="n">
        <f aca="false">IF(N(C43)&gt;D43,N(C43)-D43,0)</f>
        <v>0</v>
      </c>
      <c r="F43" s="34" t="n">
        <f aca="false">IF(N(C43)&lt;D43,D43-N(C43),0)</f>
        <v>0</v>
      </c>
      <c r="G43" s="36" t="s">
        <v>463</v>
      </c>
    </row>
    <row r="44" customFormat="false" ht="15" hidden="false" customHeight="false" outlineLevel="0" collapsed="false">
      <c r="B44" s="33" t="s">
        <v>464</v>
      </c>
      <c r="C44" s="25"/>
      <c r="D44" s="34" t="n">
        <f aca="false">E29</f>
        <v>0</v>
      </c>
      <c r="E44" s="34" t="n">
        <f aca="false">IF(N(C44)&gt;D44,N(C44)-D44,0)</f>
        <v>0</v>
      </c>
      <c r="F44" s="34" t="n">
        <f aca="false">IF(N(C44)&lt;D44,D44-N(C44),0)</f>
        <v>0</v>
      </c>
    </row>
    <row r="45" customFormat="false" ht="15" hidden="false" customHeight="false" outlineLevel="0" collapsed="false">
      <c r="B45" s="38" t="s">
        <v>465</v>
      </c>
      <c r="C45" s="33"/>
      <c r="D45" s="33"/>
      <c r="E45" s="29" t="n">
        <f aca="false">SUM(E43:E44)</f>
        <v>0</v>
      </c>
      <c r="F45" s="29" t="n">
        <f aca="false">SUM(F43:F44)</f>
        <v>0</v>
      </c>
      <c r="G45" s="37" t="str">
        <f aca="false">IF(AND(N(E45)=0,N(F45)=0),"—",IF(ABS(N(E45)-N(F45))&lt;0.005,"PASS","CHECK"))</f>
        <v>—</v>
      </c>
    </row>
    <row r="46" customFormat="false" ht="15" hidden="false" customHeight="false" outlineLevel="0" collapsed="false">
      <c r="B46" s="33" t="s">
        <v>466</v>
      </c>
      <c r="C46" s="19"/>
      <c r="D46" s="19"/>
    </row>
    <row r="48" customFormat="false" ht="18.75" hidden="false" customHeight="true" outlineLevel="0" collapsed="false">
      <c r="A48" s="13" t="s">
        <v>467</v>
      </c>
      <c r="B48" s="13"/>
      <c r="C48" s="13"/>
      <c r="D48" s="13"/>
      <c r="E48" s="13"/>
      <c r="F48" s="13"/>
      <c r="G48" s="13"/>
    </row>
    <row r="49" customFormat="false" ht="15" hidden="false" customHeight="false" outlineLevel="0" collapsed="false">
      <c r="B49" s="33" t="s">
        <v>468</v>
      </c>
      <c r="E49" s="25"/>
    </row>
    <row r="50" customFormat="false" ht="15" hidden="false" customHeight="false" outlineLevel="0" collapsed="false">
      <c r="B50" s="33" t="s">
        <v>469</v>
      </c>
      <c r="E50" s="25"/>
      <c r="G50" s="45" t="s">
        <v>470</v>
      </c>
    </row>
    <row r="51" customFormat="false" ht="15" hidden="false" customHeight="false" outlineLevel="0" collapsed="false">
      <c r="B51" s="33" t="s">
        <v>471</v>
      </c>
      <c r="E51" s="25"/>
      <c r="G51" s="36" t="s">
        <v>472</v>
      </c>
    </row>
    <row r="52" customFormat="false" ht="15" hidden="false" customHeight="false" outlineLevel="0" collapsed="false">
      <c r="B52" s="33" t="s">
        <v>473</v>
      </c>
      <c r="E52" s="25"/>
      <c r="G52" s="36" t="s">
        <v>474</v>
      </c>
    </row>
    <row r="53" customFormat="false" ht="30" hidden="false" customHeight="true" outlineLevel="0" collapsed="false">
      <c r="B53" s="38" t="s">
        <v>475</v>
      </c>
      <c r="E53" s="29" t="n">
        <f aca="false">N(E22)-N(E49)-N(E50)</f>
        <v>0</v>
      </c>
      <c r="G53" s="47" t="s">
        <v>476</v>
      </c>
    </row>
    <row r="54" customFormat="false" ht="15" hidden="false" customHeight="false" outlineLevel="0" collapsed="false">
      <c r="B54" s="38" t="s">
        <v>477</v>
      </c>
      <c r="E54" s="29" t="n">
        <f aca="false">N(E19)-N(E35)</f>
        <v>0</v>
      </c>
      <c r="G54" s="36" t="s">
        <v>478</v>
      </c>
    </row>
  </sheetData>
  <mergeCells count="18">
    <mergeCell ref="A1:G1"/>
    <mergeCell ref="A2:G2"/>
    <mergeCell ref="B4:G4"/>
    <mergeCell ref="A5:G5"/>
    <mergeCell ref="C6:D6"/>
    <mergeCell ref="E6:G6"/>
    <mergeCell ref="C7:D7"/>
    <mergeCell ref="E7:G7"/>
    <mergeCell ref="C8:D8"/>
    <mergeCell ref="E8:G8"/>
    <mergeCell ref="E9:G9"/>
    <mergeCell ref="A11:G11"/>
    <mergeCell ref="A26:G26"/>
    <mergeCell ref="A31:G31"/>
    <mergeCell ref="A40:G40"/>
    <mergeCell ref="B41:G41"/>
    <mergeCell ref="C46:D46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54"/>
  </cols>
  <sheetData>
    <row r="1" customFormat="false" ht="30" hidden="false" customHeight="true" outlineLevel="0" collapsed="false">
      <c r="A1" s="1" t="s">
        <v>479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480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11" t="s">
        <v>481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B5" s="28" t="s">
        <v>167</v>
      </c>
      <c r="C5" s="51"/>
      <c r="D5" s="28" t="s">
        <v>169</v>
      </c>
      <c r="E5" s="28" t="s">
        <v>170</v>
      </c>
      <c r="F5" s="28" t="s">
        <v>46</v>
      </c>
    </row>
    <row r="6" customFormat="false" ht="15" hidden="false" customHeight="false" outlineLevel="0" collapsed="false">
      <c r="B6" s="32" t="s">
        <v>482</v>
      </c>
      <c r="C6" s="33" t="s">
        <v>483</v>
      </c>
      <c r="D6" s="22" t="n">
        <f aca="false">'2-Page1'!$D$42</f>
        <v>0</v>
      </c>
      <c r="E6" s="35" t="s">
        <v>174</v>
      </c>
      <c r="F6" s="36" t="s">
        <v>484</v>
      </c>
    </row>
    <row r="7" customFormat="false" ht="15" hidden="false" customHeight="false" outlineLevel="0" collapsed="false">
      <c r="B7" s="32" t="s">
        <v>482</v>
      </c>
      <c r="C7" s="33" t="s">
        <v>485</v>
      </c>
      <c r="D7" s="52" t="n">
        <v>0.21</v>
      </c>
      <c r="E7" s="39" t="s">
        <v>250</v>
      </c>
      <c r="F7" s="45" t="s">
        <v>486</v>
      </c>
    </row>
    <row r="8" customFormat="false" ht="15" hidden="false" customHeight="false" outlineLevel="0" collapsed="false">
      <c r="B8" s="37" t="s">
        <v>181</v>
      </c>
      <c r="C8" s="38" t="s">
        <v>487</v>
      </c>
      <c r="D8" s="29" t="n">
        <f aca="false">ROUND(MAX(0,D6)*D7,0)</f>
        <v>0</v>
      </c>
      <c r="E8" s="35" t="s">
        <v>174</v>
      </c>
      <c r="F8" s="36" t="s">
        <v>488</v>
      </c>
    </row>
    <row r="9" customFormat="false" ht="15" hidden="false" customHeight="false" outlineLevel="0" collapsed="false">
      <c r="B9" s="32" t="s">
        <v>184</v>
      </c>
      <c r="C9" s="33" t="s">
        <v>489</v>
      </c>
      <c r="D9" s="25"/>
      <c r="E9" s="39" t="s">
        <v>250</v>
      </c>
      <c r="F9" s="36" t="s">
        <v>490</v>
      </c>
    </row>
    <row r="10" customFormat="false" ht="15" hidden="false" customHeight="false" outlineLevel="0" collapsed="false">
      <c r="B10" s="32" t="s">
        <v>186</v>
      </c>
      <c r="C10" s="33" t="s">
        <v>491</v>
      </c>
      <c r="D10" s="34" t="n">
        <f aca="false">D8+D9</f>
        <v>0</v>
      </c>
      <c r="E10" s="35" t="s">
        <v>174</v>
      </c>
      <c r="F10" s="36"/>
    </row>
    <row r="11" customFormat="false" ht="15" hidden="false" customHeight="false" outlineLevel="0" collapsed="false">
      <c r="B11" s="32" t="s">
        <v>492</v>
      </c>
      <c r="C11" s="33" t="s">
        <v>493</v>
      </c>
      <c r="D11" s="25"/>
      <c r="E11" s="39" t="s">
        <v>250</v>
      </c>
      <c r="F11" s="36" t="s">
        <v>494</v>
      </c>
    </row>
    <row r="12" customFormat="false" ht="15" hidden="false" customHeight="false" outlineLevel="0" collapsed="false">
      <c r="B12" s="32" t="s">
        <v>495</v>
      </c>
      <c r="C12" s="33" t="s">
        <v>496</v>
      </c>
      <c r="D12" s="25"/>
      <c r="E12" s="39" t="s">
        <v>250</v>
      </c>
      <c r="F12" s="36"/>
    </row>
    <row r="13" customFormat="false" ht="15" hidden="false" customHeight="false" outlineLevel="0" collapsed="false">
      <c r="B13" s="32" t="s">
        <v>497</v>
      </c>
      <c r="C13" s="33" t="s">
        <v>498</v>
      </c>
      <c r="D13" s="25"/>
      <c r="E13" s="39" t="s">
        <v>250</v>
      </c>
      <c r="F13" s="36"/>
    </row>
    <row r="14" customFormat="false" ht="15" hidden="false" customHeight="false" outlineLevel="0" collapsed="false">
      <c r="B14" s="32" t="s">
        <v>499</v>
      </c>
      <c r="C14" s="33" t="s">
        <v>500</v>
      </c>
      <c r="D14" s="25"/>
      <c r="E14" s="39" t="s">
        <v>250</v>
      </c>
      <c r="F14" s="36"/>
    </row>
    <row r="15" customFormat="false" ht="15" hidden="false" customHeight="false" outlineLevel="0" collapsed="false">
      <c r="B15" s="32" t="s">
        <v>501</v>
      </c>
      <c r="C15" s="33" t="s">
        <v>502</v>
      </c>
      <c r="D15" s="25"/>
      <c r="E15" s="39" t="s">
        <v>250</v>
      </c>
      <c r="F15" s="36"/>
    </row>
    <row r="16" customFormat="false" ht="15" hidden="false" customHeight="false" outlineLevel="0" collapsed="false">
      <c r="B16" s="32" t="s">
        <v>192</v>
      </c>
      <c r="C16" s="33" t="s">
        <v>503</v>
      </c>
      <c r="D16" s="34" t="n">
        <f aca="false">SUM(D11:D15)</f>
        <v>0</v>
      </c>
      <c r="E16" s="35" t="s">
        <v>174</v>
      </c>
      <c r="F16" s="36"/>
    </row>
    <row r="17" customFormat="false" ht="15" hidden="false" customHeight="false" outlineLevel="0" collapsed="false">
      <c r="B17" s="32" t="s">
        <v>195</v>
      </c>
      <c r="C17" s="33" t="s">
        <v>504</v>
      </c>
      <c r="D17" s="34" t="n">
        <f aca="false">MAX(0,D10-D16)</f>
        <v>0</v>
      </c>
      <c r="E17" s="35" t="s">
        <v>174</v>
      </c>
      <c r="F17" s="36"/>
    </row>
    <row r="18" customFormat="false" ht="15" hidden="false" customHeight="false" outlineLevel="0" collapsed="false">
      <c r="B18" s="32" t="s">
        <v>198</v>
      </c>
      <c r="C18" s="33" t="s">
        <v>505</v>
      </c>
      <c r="D18" s="25"/>
      <c r="E18" s="39" t="s">
        <v>250</v>
      </c>
      <c r="F18" s="36"/>
    </row>
    <row r="19" customFormat="false" ht="15" hidden="false" customHeight="false" outlineLevel="0" collapsed="false">
      <c r="B19" s="32" t="s">
        <v>201</v>
      </c>
      <c r="C19" s="33" t="s">
        <v>506</v>
      </c>
      <c r="D19" s="25"/>
      <c r="E19" s="39" t="s">
        <v>250</v>
      </c>
      <c r="F19" s="36" t="s">
        <v>507</v>
      </c>
    </row>
    <row r="20" customFormat="false" ht="15" hidden="false" customHeight="false" outlineLevel="0" collapsed="false">
      <c r="B20" s="37" t="s">
        <v>210</v>
      </c>
      <c r="C20" s="38" t="s">
        <v>508</v>
      </c>
      <c r="D20" s="29" t="n">
        <f aca="false">D17+D18+D19</f>
        <v>0</v>
      </c>
      <c r="E20" s="35" t="s">
        <v>174</v>
      </c>
      <c r="F20" s="36" t="s">
        <v>509</v>
      </c>
    </row>
    <row r="22" customFormat="false" ht="18.75" hidden="false" customHeight="true" outlineLevel="0" collapsed="false">
      <c r="A22" s="11" t="s">
        <v>510</v>
      </c>
      <c r="B22" s="11"/>
      <c r="C22" s="11"/>
      <c r="D22" s="11"/>
      <c r="E22" s="11"/>
      <c r="F22" s="11"/>
    </row>
    <row r="23" customFormat="false" ht="15" hidden="false" customHeight="false" outlineLevel="0" collapsed="false">
      <c r="B23" s="32" t="s">
        <v>482</v>
      </c>
      <c r="C23" s="33" t="s">
        <v>511</v>
      </c>
      <c r="D23" s="22" t="n">
        <f aca="false">N('0-Client'!$C$29)</f>
        <v>0</v>
      </c>
      <c r="E23" s="35" t="s">
        <v>174</v>
      </c>
      <c r="F23" s="36" t="s">
        <v>512</v>
      </c>
    </row>
    <row r="24" customFormat="false" ht="15" hidden="false" customHeight="false" outlineLevel="0" collapsed="false">
      <c r="B24" s="32" t="s">
        <v>482</v>
      </c>
      <c r="C24" s="33" t="s">
        <v>513</v>
      </c>
      <c r="D24" s="22" t="n">
        <f aca="false">N('0-Client'!$C$28)</f>
        <v>0</v>
      </c>
      <c r="E24" s="35" t="s">
        <v>174</v>
      </c>
      <c r="F24" s="36" t="s">
        <v>512</v>
      </c>
    </row>
    <row r="25" customFormat="false" ht="15" hidden="false" customHeight="false" outlineLevel="0" collapsed="false">
      <c r="B25" s="32" t="s">
        <v>482</v>
      </c>
      <c r="C25" s="33" t="s">
        <v>514</v>
      </c>
      <c r="D25" s="25"/>
      <c r="E25" s="39" t="s">
        <v>250</v>
      </c>
      <c r="F25" s="36"/>
    </row>
    <row r="26" customFormat="false" ht="15" hidden="false" customHeight="false" outlineLevel="0" collapsed="false">
      <c r="B26" s="32" t="s">
        <v>482</v>
      </c>
      <c r="C26" s="33" t="s">
        <v>515</v>
      </c>
      <c r="D26" s="25"/>
      <c r="E26" s="39" t="s">
        <v>250</v>
      </c>
      <c r="F26" s="36"/>
    </row>
    <row r="27" customFormat="false" ht="15" hidden="false" customHeight="false" outlineLevel="0" collapsed="false">
      <c r="B27" s="37" t="s">
        <v>242</v>
      </c>
      <c r="C27" s="38" t="s">
        <v>516</v>
      </c>
      <c r="D27" s="29" t="n">
        <f aca="false">SUM(D23:D26)</f>
        <v>0</v>
      </c>
      <c r="E27" s="35" t="s">
        <v>174</v>
      </c>
      <c r="F27" s="36" t="s">
        <v>509</v>
      </c>
    </row>
    <row r="29" customFormat="false" ht="42" hidden="false" customHeight="true" outlineLevel="0" collapsed="false">
      <c r="C29" s="16" t="s">
        <v>517</v>
      </c>
      <c r="D29" s="16"/>
      <c r="E29" s="16"/>
      <c r="F29" s="16"/>
    </row>
  </sheetData>
  <mergeCells count="5">
    <mergeCell ref="A1:F1"/>
    <mergeCell ref="A2:F2"/>
    <mergeCell ref="A4:F4"/>
    <mergeCell ref="A22:F22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518</v>
      </c>
      <c r="B1" s="1"/>
      <c r="C1" s="1"/>
      <c r="D1" s="1"/>
    </row>
    <row r="2" customFormat="false" ht="15.75" hidden="false" customHeight="true" outlineLevel="0" collapsed="false">
      <c r="A2" s="2" t="s">
        <v>519</v>
      </c>
      <c r="B2" s="2"/>
      <c r="C2" s="2"/>
      <c r="D2" s="2"/>
    </row>
    <row r="4" customFormat="false" ht="18.75" hidden="false" customHeight="true" outlineLevel="0" collapsed="false">
      <c r="A4" s="11" t="s">
        <v>520</v>
      </c>
      <c r="B4" s="11"/>
      <c r="C4" s="11"/>
      <c r="D4" s="11"/>
    </row>
    <row r="5" customFormat="false" ht="15" hidden="false" customHeight="false" outlineLevel="0" collapsed="false">
      <c r="B5" s="28" t="s">
        <v>521</v>
      </c>
      <c r="C5" s="28" t="s">
        <v>522</v>
      </c>
      <c r="D5" s="28" t="s">
        <v>523</v>
      </c>
    </row>
    <row r="6" customFormat="false" ht="30" hidden="false" customHeight="true" outlineLevel="0" collapsed="false">
      <c r="B6" s="53" t="s">
        <v>524</v>
      </c>
      <c r="C6" s="19"/>
      <c r="D6" s="44" t="s">
        <v>525</v>
      </c>
    </row>
    <row r="7" customFormat="false" ht="30" hidden="false" customHeight="true" outlineLevel="0" collapsed="false">
      <c r="B7" s="53" t="s">
        <v>526</v>
      </c>
      <c r="C7" s="19"/>
      <c r="D7" s="44" t="s">
        <v>527</v>
      </c>
    </row>
    <row r="8" customFormat="false" ht="30" hidden="false" customHeight="true" outlineLevel="0" collapsed="false">
      <c r="B8" s="53" t="s">
        <v>528</v>
      </c>
      <c r="C8" s="19"/>
      <c r="D8" s="44" t="s">
        <v>529</v>
      </c>
    </row>
    <row r="9" customFormat="false" ht="42" hidden="false" customHeight="true" outlineLevel="0" collapsed="false">
      <c r="B9" s="53" t="s">
        <v>530</v>
      </c>
      <c r="C9" s="19"/>
      <c r="D9" s="44" t="s">
        <v>531</v>
      </c>
    </row>
    <row r="10" customFormat="false" ht="30" hidden="false" customHeight="true" outlineLevel="0" collapsed="false">
      <c r="B10" s="53" t="s">
        <v>532</v>
      </c>
      <c r="C10" s="19"/>
      <c r="D10" s="44" t="s">
        <v>533</v>
      </c>
    </row>
    <row r="11" customFormat="false" ht="30" hidden="false" customHeight="true" outlineLevel="0" collapsed="false">
      <c r="B11" s="53" t="s">
        <v>534</v>
      </c>
      <c r="C11" s="19"/>
      <c r="D11" s="44" t="s">
        <v>535</v>
      </c>
    </row>
    <row r="12" customFormat="false" ht="30" hidden="false" customHeight="true" outlineLevel="0" collapsed="false">
      <c r="B12" s="53" t="s">
        <v>536</v>
      </c>
      <c r="C12" s="19"/>
      <c r="D12" s="44" t="s">
        <v>537</v>
      </c>
    </row>
    <row r="13" customFormat="false" ht="42" hidden="false" customHeight="true" outlineLevel="0" collapsed="false">
      <c r="B13" s="53" t="s">
        <v>538</v>
      </c>
      <c r="C13" s="19"/>
      <c r="D13" s="44" t="s">
        <v>539</v>
      </c>
    </row>
    <row r="14" customFormat="false" ht="30" hidden="false" customHeight="true" outlineLevel="0" collapsed="false">
      <c r="B14" s="53" t="s">
        <v>540</v>
      </c>
      <c r="C14" s="19"/>
      <c r="D14" s="44" t="s">
        <v>541</v>
      </c>
    </row>
    <row r="15" customFormat="false" ht="30" hidden="false" customHeight="true" outlineLevel="0" collapsed="false">
      <c r="B15" s="53" t="s">
        <v>542</v>
      </c>
      <c r="C15" s="19"/>
      <c r="D15" s="44" t="s">
        <v>543</v>
      </c>
    </row>
    <row r="16" customFormat="false" ht="30" hidden="false" customHeight="true" outlineLevel="0" collapsed="false">
      <c r="B16" s="53" t="s">
        <v>544</v>
      </c>
      <c r="C16" s="19"/>
      <c r="D16" s="44" t="s">
        <v>545</v>
      </c>
    </row>
    <row r="17" customFormat="false" ht="30" hidden="false" customHeight="true" outlineLevel="0" collapsed="false">
      <c r="B17" s="53" t="s">
        <v>546</v>
      </c>
      <c r="C17" s="19"/>
      <c r="D17" s="44" t="s">
        <v>547</v>
      </c>
    </row>
    <row r="18" customFormat="false" ht="30" hidden="false" customHeight="true" outlineLevel="0" collapsed="false">
      <c r="B18" s="53" t="s">
        <v>548</v>
      </c>
      <c r="C18" s="19"/>
      <c r="D18" s="44" t="s">
        <v>549</v>
      </c>
    </row>
    <row r="19" customFormat="false" ht="30" hidden="false" customHeight="true" outlineLevel="0" collapsed="false">
      <c r="B19" s="53" t="s">
        <v>550</v>
      </c>
      <c r="C19" s="19"/>
      <c r="D19" s="44" t="s">
        <v>551</v>
      </c>
    </row>
    <row r="20" customFormat="false" ht="30" hidden="false" customHeight="true" outlineLevel="0" collapsed="false">
      <c r="B20" s="53" t="s">
        <v>552</v>
      </c>
      <c r="C20" s="19"/>
      <c r="D20" s="44" t="s">
        <v>553</v>
      </c>
    </row>
    <row r="22" customFormat="false" ht="27.75" hidden="false" customHeight="true" outlineLevel="0" collapsed="false">
      <c r="B22" s="16" t="s">
        <v>554</v>
      </c>
      <c r="C22" s="16"/>
      <c r="D22" s="16"/>
    </row>
  </sheetData>
  <mergeCells count="4">
    <mergeCell ref="A1:D1"/>
    <mergeCell ref="A2:D2"/>
    <mergeCell ref="A4:D4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8"/>
    <col collapsed="false" customWidth="true" hidden="false" outlineLevel="0" max="5" min="4" style="0" width="20"/>
    <col collapsed="false" customWidth="true" hidden="false" outlineLevel="0" max="6" min="6" style="0" width="54"/>
  </cols>
  <sheetData>
    <row r="1" customFormat="false" ht="30" hidden="false" customHeight="true" outlineLevel="0" collapsed="false">
      <c r="A1" s="1" t="s">
        <v>555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556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11" t="s">
        <v>557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B5" s="28" t="s">
        <v>167</v>
      </c>
      <c r="C5" s="28" t="s">
        <v>168</v>
      </c>
      <c r="D5" s="28" t="s">
        <v>558</v>
      </c>
      <c r="E5" s="28" t="s">
        <v>559</v>
      </c>
      <c r="F5" s="28" t="s">
        <v>46</v>
      </c>
    </row>
    <row r="6" customFormat="false" ht="30" hidden="false" customHeight="true" outlineLevel="0" collapsed="false">
      <c r="B6" s="32" t="s">
        <v>308</v>
      </c>
      <c r="C6" s="33" t="s">
        <v>560</v>
      </c>
      <c r="D6" s="25"/>
      <c r="E6" s="25"/>
      <c r="F6" s="44" t="s">
        <v>561</v>
      </c>
    </row>
    <row r="7" customFormat="false" ht="15" hidden="false" customHeight="false" outlineLevel="0" collapsed="false">
      <c r="B7" s="32" t="s">
        <v>562</v>
      </c>
      <c r="C7" s="33" t="s">
        <v>563</v>
      </c>
      <c r="D7" s="25"/>
      <c r="E7" s="25"/>
      <c r="F7" s="44"/>
    </row>
    <row r="8" customFormat="false" ht="15" hidden="false" customHeight="false" outlineLevel="0" collapsed="false">
      <c r="B8" s="32" t="s">
        <v>564</v>
      </c>
      <c r="C8" s="33" t="s">
        <v>565</v>
      </c>
      <c r="D8" s="25"/>
      <c r="E8" s="25"/>
      <c r="F8" s="44" t="s">
        <v>566</v>
      </c>
    </row>
    <row r="9" customFormat="false" ht="15" hidden="false" customHeight="false" outlineLevel="0" collapsed="false">
      <c r="B9" s="32" t="s">
        <v>184</v>
      </c>
      <c r="C9" s="33" t="s">
        <v>567</v>
      </c>
      <c r="D9" s="25"/>
      <c r="E9" s="25"/>
      <c r="F9" s="44"/>
    </row>
    <row r="10" customFormat="false" ht="15" hidden="false" customHeight="false" outlineLevel="0" collapsed="false">
      <c r="B10" s="32" t="s">
        <v>186</v>
      </c>
      <c r="C10" s="33" t="s">
        <v>568</v>
      </c>
      <c r="D10" s="25"/>
      <c r="E10" s="25"/>
      <c r="F10" s="44"/>
    </row>
    <row r="11" customFormat="false" ht="15" hidden="false" customHeight="false" outlineLevel="0" collapsed="false">
      <c r="B11" s="32" t="s">
        <v>189</v>
      </c>
      <c r="C11" s="33" t="s">
        <v>569</v>
      </c>
      <c r="D11" s="25"/>
      <c r="E11" s="25"/>
      <c r="F11" s="44"/>
    </row>
    <row r="12" customFormat="false" ht="15" hidden="false" customHeight="false" outlineLevel="0" collapsed="false">
      <c r="B12" s="32" t="s">
        <v>192</v>
      </c>
      <c r="C12" s="33" t="s">
        <v>570</v>
      </c>
      <c r="D12" s="25"/>
      <c r="E12" s="25"/>
      <c r="F12" s="44"/>
    </row>
    <row r="13" customFormat="false" ht="15" hidden="false" customHeight="false" outlineLevel="0" collapsed="false">
      <c r="B13" s="32" t="s">
        <v>195</v>
      </c>
      <c r="C13" s="33" t="s">
        <v>571</v>
      </c>
      <c r="D13" s="25"/>
      <c r="E13" s="25"/>
      <c r="F13" s="44" t="s">
        <v>572</v>
      </c>
    </row>
    <row r="14" customFormat="false" ht="15" hidden="false" customHeight="false" outlineLevel="0" collapsed="false">
      <c r="B14" s="32" t="s">
        <v>198</v>
      </c>
      <c r="C14" s="33" t="s">
        <v>573</v>
      </c>
      <c r="D14" s="25"/>
      <c r="E14" s="25"/>
      <c r="F14" s="44"/>
    </row>
    <row r="15" customFormat="false" ht="30" hidden="false" customHeight="true" outlineLevel="0" collapsed="false">
      <c r="B15" s="32" t="s">
        <v>201</v>
      </c>
      <c r="C15" s="33" t="s">
        <v>574</v>
      </c>
      <c r="D15" s="25"/>
      <c r="E15" s="25"/>
      <c r="F15" s="44" t="s">
        <v>575</v>
      </c>
    </row>
    <row r="16" customFormat="false" ht="15" hidden="false" customHeight="false" outlineLevel="0" collapsed="false">
      <c r="B16" s="32" t="s">
        <v>576</v>
      </c>
      <c r="C16" s="33" t="s">
        <v>577</v>
      </c>
      <c r="D16" s="25"/>
      <c r="E16" s="25"/>
      <c r="F16" s="44"/>
    </row>
    <row r="17" customFormat="false" ht="15" hidden="false" customHeight="false" outlineLevel="0" collapsed="false">
      <c r="B17" s="32" t="s">
        <v>578</v>
      </c>
      <c r="C17" s="33" t="s">
        <v>579</v>
      </c>
      <c r="D17" s="25"/>
      <c r="E17" s="25"/>
      <c r="F17" s="44" t="s">
        <v>580</v>
      </c>
    </row>
    <row r="18" customFormat="false" ht="15" hidden="false" customHeight="false" outlineLevel="0" collapsed="false">
      <c r="B18" s="32" t="s">
        <v>581</v>
      </c>
      <c r="C18" s="33" t="s">
        <v>582</v>
      </c>
      <c r="D18" s="25"/>
      <c r="E18" s="25"/>
      <c r="F18" s="44"/>
    </row>
    <row r="19" customFormat="false" ht="15" hidden="false" customHeight="false" outlineLevel="0" collapsed="false">
      <c r="B19" s="32" t="s">
        <v>583</v>
      </c>
      <c r="C19" s="33" t="s">
        <v>584</v>
      </c>
      <c r="D19" s="25"/>
      <c r="E19" s="25"/>
      <c r="F19" s="44" t="s">
        <v>580</v>
      </c>
    </row>
    <row r="20" customFormat="false" ht="15" hidden="false" customHeight="false" outlineLevel="0" collapsed="false">
      <c r="B20" s="32" t="s">
        <v>210</v>
      </c>
      <c r="C20" s="33" t="s">
        <v>585</v>
      </c>
      <c r="D20" s="25"/>
      <c r="E20" s="25"/>
      <c r="F20" s="44"/>
    </row>
    <row r="21" customFormat="false" ht="15" hidden="false" customHeight="false" outlineLevel="0" collapsed="false">
      <c r="B21" s="32" t="s">
        <v>586</v>
      </c>
      <c r="C21" s="33" t="s">
        <v>587</v>
      </c>
      <c r="D21" s="25"/>
      <c r="E21" s="25"/>
      <c r="F21" s="44"/>
    </row>
    <row r="22" customFormat="false" ht="15" hidden="false" customHeight="false" outlineLevel="0" collapsed="false">
      <c r="B22" s="32" t="s">
        <v>588</v>
      </c>
      <c r="C22" s="33" t="s">
        <v>589</v>
      </c>
      <c r="D22" s="25"/>
      <c r="E22" s="25"/>
      <c r="F22" s="44" t="s">
        <v>580</v>
      </c>
    </row>
    <row r="23" customFormat="false" ht="15" hidden="false" customHeight="false" outlineLevel="0" collapsed="false">
      <c r="B23" s="32" t="s">
        <v>216</v>
      </c>
      <c r="C23" s="33" t="s">
        <v>590</v>
      </c>
      <c r="D23" s="25"/>
      <c r="E23" s="25"/>
      <c r="F23" s="44"/>
    </row>
    <row r="24" customFormat="false" ht="15" hidden="false" customHeight="false" outlineLevel="0" collapsed="false">
      <c r="B24" s="37" t="s">
        <v>219</v>
      </c>
      <c r="C24" s="38" t="s">
        <v>591</v>
      </c>
      <c r="D24" s="29" t="n">
        <f aca="false">SUM(D6:D7)-N(D8)+SUM(D9:D16)-N(D17)+D18-N(D19)+D20+D21-N(D22)+D23</f>
        <v>0</v>
      </c>
      <c r="E24" s="29" t="n">
        <f aca="false">SUM(E6:E7)-N(E8)+SUM(E9:E16)-N(E17)+E18-N(E19)+E20+E21-N(E22)+E23</f>
        <v>0</v>
      </c>
      <c r="F24" s="44"/>
    </row>
    <row r="26" customFormat="false" ht="18.75" hidden="false" customHeight="true" outlineLevel="0" collapsed="false">
      <c r="A26" s="11" t="s">
        <v>592</v>
      </c>
      <c r="B26" s="11"/>
      <c r="C26" s="11"/>
      <c r="D26" s="11"/>
      <c r="E26" s="11"/>
      <c r="F26" s="11"/>
    </row>
    <row r="27" customFormat="false" ht="15" hidden="false" customHeight="false" outlineLevel="0" collapsed="false">
      <c r="B27" s="28" t="s">
        <v>167</v>
      </c>
      <c r="C27" s="28" t="s">
        <v>168</v>
      </c>
      <c r="D27" s="28" t="s">
        <v>558</v>
      </c>
      <c r="E27" s="28" t="s">
        <v>559</v>
      </c>
      <c r="F27" s="28" t="s">
        <v>46</v>
      </c>
    </row>
    <row r="28" customFormat="false" ht="15" hidden="false" customHeight="false" outlineLevel="0" collapsed="false">
      <c r="B28" s="32" t="s">
        <v>222</v>
      </c>
      <c r="C28" s="33" t="s">
        <v>593</v>
      </c>
      <c r="D28" s="25"/>
      <c r="E28" s="25"/>
      <c r="F28" s="44"/>
    </row>
    <row r="29" customFormat="false" ht="15" hidden="false" customHeight="false" outlineLevel="0" collapsed="false">
      <c r="B29" s="32" t="s">
        <v>225</v>
      </c>
      <c r="C29" s="33" t="s">
        <v>594</v>
      </c>
      <c r="D29" s="25"/>
      <c r="E29" s="25"/>
      <c r="F29" s="44"/>
    </row>
    <row r="30" customFormat="false" ht="15" hidden="false" customHeight="false" outlineLevel="0" collapsed="false">
      <c r="B30" s="32" t="s">
        <v>228</v>
      </c>
      <c r="C30" s="33" t="s">
        <v>595</v>
      </c>
      <c r="D30" s="25"/>
      <c r="E30" s="25"/>
      <c r="F30" s="44"/>
    </row>
    <row r="31" customFormat="false" ht="15" hidden="false" customHeight="false" outlineLevel="0" collapsed="false">
      <c r="B31" s="32" t="s">
        <v>230</v>
      </c>
      <c r="C31" s="33" t="s">
        <v>596</v>
      </c>
      <c r="D31" s="25"/>
      <c r="E31" s="25"/>
      <c r="F31" s="44"/>
    </row>
    <row r="32" customFormat="false" ht="15" hidden="false" customHeight="false" outlineLevel="0" collapsed="false">
      <c r="B32" s="32" t="s">
        <v>233</v>
      </c>
      <c r="C32" s="33" t="s">
        <v>597</v>
      </c>
      <c r="D32" s="25"/>
      <c r="E32" s="25"/>
      <c r="F32" s="44"/>
    </row>
    <row r="33" customFormat="false" ht="15" hidden="false" customHeight="false" outlineLevel="0" collapsed="false">
      <c r="B33" s="32" t="s">
        <v>236</v>
      </c>
      <c r="C33" s="33" t="s">
        <v>598</v>
      </c>
      <c r="D33" s="25"/>
      <c r="E33" s="25"/>
      <c r="F33" s="44"/>
    </row>
    <row r="34" customFormat="false" ht="15" hidden="false" customHeight="false" outlineLevel="0" collapsed="false">
      <c r="B34" s="32" t="s">
        <v>599</v>
      </c>
      <c r="C34" s="33" t="s">
        <v>600</v>
      </c>
      <c r="D34" s="25"/>
      <c r="E34" s="25"/>
      <c r="F34" s="44"/>
    </row>
    <row r="35" customFormat="false" ht="15" hidden="false" customHeight="false" outlineLevel="0" collapsed="false">
      <c r="B35" s="32" t="s">
        <v>601</v>
      </c>
      <c r="C35" s="33" t="s">
        <v>602</v>
      </c>
      <c r="D35" s="25"/>
      <c r="E35" s="25"/>
      <c r="F35" s="44"/>
    </row>
    <row r="36" customFormat="false" ht="15" hidden="false" customHeight="false" outlineLevel="0" collapsed="false">
      <c r="B36" s="32" t="s">
        <v>242</v>
      </c>
      <c r="C36" s="33" t="s">
        <v>603</v>
      </c>
      <c r="D36" s="25"/>
      <c r="E36" s="25"/>
      <c r="F36" s="44"/>
    </row>
    <row r="37" customFormat="false" ht="15" hidden="false" customHeight="false" outlineLevel="0" collapsed="false">
      <c r="B37" s="32" t="s">
        <v>245</v>
      </c>
      <c r="C37" s="33" t="s">
        <v>604</v>
      </c>
      <c r="D37" s="25"/>
      <c r="E37" s="25"/>
      <c r="F37" s="44"/>
    </row>
    <row r="38" customFormat="false" ht="43.5" hidden="false" customHeight="true" outlineLevel="0" collapsed="false">
      <c r="B38" s="37" t="s">
        <v>248</v>
      </c>
      <c r="C38" s="38" t="s">
        <v>605</v>
      </c>
      <c r="D38" s="22" t="n">
        <f aca="false">N('0-Client'!$C$26)</f>
        <v>0</v>
      </c>
      <c r="E38" s="40" t="n">
        <f aca="false">'10-SchM2'!$D$14</f>
        <v>0</v>
      </c>
      <c r="F38" s="44" t="s">
        <v>606</v>
      </c>
    </row>
    <row r="39" customFormat="false" ht="15" hidden="false" customHeight="false" outlineLevel="0" collapsed="false">
      <c r="B39" s="32" t="s">
        <v>252</v>
      </c>
      <c r="C39" s="33" t="s">
        <v>607</v>
      </c>
      <c r="D39" s="25"/>
      <c r="E39" s="25"/>
      <c r="F39" s="44"/>
    </row>
    <row r="40" customFormat="false" ht="15" hidden="false" customHeight="false" outlineLevel="0" collapsed="false">
      <c r="B40" s="32" t="s">
        <v>255</v>
      </c>
      <c r="C40" s="33" t="s">
        <v>608</v>
      </c>
      <c r="D40" s="25"/>
      <c r="E40" s="25"/>
      <c r="F40" s="44" t="s">
        <v>580</v>
      </c>
    </row>
    <row r="41" customFormat="false" ht="15" hidden="false" customHeight="false" outlineLevel="0" collapsed="false">
      <c r="B41" s="37" t="s">
        <v>257</v>
      </c>
      <c r="C41" s="38" t="s">
        <v>609</v>
      </c>
      <c r="D41" s="29" t="n">
        <f aca="false">SUM(D28:D39)-N(D40)</f>
        <v>0</v>
      </c>
      <c r="E41" s="29" t="n">
        <f aca="false">SUM(E28:E39)-N(E40)</f>
        <v>0</v>
      </c>
      <c r="F41" s="44"/>
    </row>
    <row r="43" customFormat="false" ht="27.75" hidden="false" customHeight="true" outlineLevel="0" collapsed="false">
      <c r="C43" s="38" t="s">
        <v>610</v>
      </c>
      <c r="D43" s="37" t="str">
        <f aca="false">IF(AND(N(D24)=0,N(D41)=0),"—",IF(ABS(N(D24)-N(D41))&lt;0.005,"PASS","CHECK"))</f>
        <v>—</v>
      </c>
      <c r="E43" s="37" t="str">
        <f aca="false">IF(AND(N(E24)=0,N(E41)=0),"—",IF(ABS(N(E24)-N(E41))&lt;0.005,"PASS","CHECK"))</f>
        <v>—</v>
      </c>
      <c r="F43" s="47" t="s">
        <v>611</v>
      </c>
    </row>
    <row r="44" customFormat="false" ht="15" hidden="false" customHeight="false" outlineLevel="0" collapsed="false">
      <c r="C44" s="33" t="s">
        <v>612</v>
      </c>
      <c r="D44" s="22" t="n">
        <f aca="false">N('0-Client'!$C$27)</f>
        <v>0</v>
      </c>
      <c r="E44" s="37" t="str">
        <f aca="false">IF(AND(N(D24)=0,N(D44)=0),"—",IF(ABS(N(D24)-N(D44))&lt;0.005,"PASS","CHECK"))</f>
        <v>—</v>
      </c>
    </row>
  </sheetData>
  <mergeCells count="4">
    <mergeCell ref="A1:F1"/>
    <mergeCell ref="A2:F2"/>
    <mergeCell ref="A4:F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56"/>
  </cols>
  <sheetData>
    <row r="1" customFormat="false" ht="30" hidden="false" customHeight="true" outlineLevel="0" collapsed="false">
      <c r="A1" s="1" t="s">
        <v>613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614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11" t="s">
        <v>615</v>
      </c>
      <c r="B4" s="11"/>
      <c r="C4" s="11"/>
      <c r="D4" s="11"/>
      <c r="E4" s="11"/>
      <c r="F4" s="11"/>
    </row>
    <row r="5" customFormat="false" ht="42" hidden="false" customHeight="true" outlineLevel="0" collapsed="false">
      <c r="C5" s="16" t="s">
        <v>616</v>
      </c>
      <c r="D5" s="16"/>
      <c r="E5" s="16"/>
      <c r="F5" s="16"/>
    </row>
    <row r="6" customFormat="false" ht="15" hidden="false" customHeight="false" outlineLevel="0" collapsed="false">
      <c r="C6" s="38" t="s">
        <v>617</v>
      </c>
      <c r="D6" s="40" t="n">
        <f aca="false">'5-Investments'!$E$29</f>
        <v>0</v>
      </c>
      <c r="F6" s="36" t="s">
        <v>618</v>
      </c>
    </row>
    <row r="7" customFormat="false" ht="15" hidden="false" customHeight="false" outlineLevel="0" collapsed="false">
      <c r="C7" s="46" t="s">
        <v>619</v>
      </c>
      <c r="D7" s="42" t="str">
        <f aca="false">IF(N(D6)=0,"neither — no unrealized movement",IF(N(D6)&gt;0,"LINE 7 — income on books not on the return","LINE 5 — expenses on books not deducted"))</f>
        <v>neither — no unrealized movement</v>
      </c>
      <c r="E7" s="42"/>
      <c r="F7" s="42"/>
    </row>
    <row r="9" customFormat="false" ht="18.75" hidden="false" customHeight="true" outlineLevel="0" collapsed="false">
      <c r="A9" s="11" t="s">
        <v>620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B10" s="28" t="s">
        <v>167</v>
      </c>
      <c r="C10" s="28" t="s">
        <v>168</v>
      </c>
      <c r="D10" s="28" t="s">
        <v>169</v>
      </c>
      <c r="E10" s="28" t="s">
        <v>170</v>
      </c>
      <c r="F10" s="28" t="s">
        <v>46</v>
      </c>
    </row>
    <row r="11" customFormat="false" ht="22.35" hidden="false" customHeight="false" outlineLevel="0" collapsed="false">
      <c r="B11" s="32" t="s">
        <v>308</v>
      </c>
      <c r="C11" s="33" t="s">
        <v>621</v>
      </c>
      <c r="D11" s="25"/>
      <c r="E11" s="39" t="s">
        <v>250</v>
      </c>
      <c r="F11" s="44" t="s">
        <v>622</v>
      </c>
    </row>
    <row r="12" customFormat="false" ht="15" hidden="false" customHeight="false" outlineLevel="0" collapsed="false">
      <c r="B12" s="32" t="s">
        <v>181</v>
      </c>
      <c r="C12" s="33" t="s">
        <v>623</v>
      </c>
      <c r="D12" s="34" t="n">
        <f aca="false">SUMIF('1-TrialBalance'!$D$39:$D$118,"FED_TAX",'1-TrialBalance'!$C$39:$C$118)</f>
        <v>0</v>
      </c>
      <c r="E12" s="35" t="s">
        <v>174</v>
      </c>
      <c r="F12" s="44" t="s">
        <v>624</v>
      </c>
    </row>
    <row r="13" customFormat="false" ht="15" hidden="false" customHeight="false" outlineLevel="0" collapsed="false">
      <c r="B13" s="32" t="s">
        <v>184</v>
      </c>
      <c r="C13" s="33" t="s">
        <v>625</v>
      </c>
      <c r="D13" s="22" t="n">
        <f aca="false">'4-SchD'!$F$35</f>
        <v>-0</v>
      </c>
      <c r="E13" s="35" t="s">
        <v>174</v>
      </c>
      <c r="F13" s="44" t="s">
        <v>626</v>
      </c>
    </row>
    <row r="14" customFormat="false" ht="15" hidden="false" customHeight="false" outlineLevel="0" collapsed="false">
      <c r="B14" s="32" t="s">
        <v>186</v>
      </c>
      <c r="C14" s="33" t="s">
        <v>627</v>
      </c>
      <c r="D14" s="25"/>
      <c r="E14" s="39" t="s">
        <v>250</v>
      </c>
      <c r="F14" s="44" t="s">
        <v>628</v>
      </c>
    </row>
    <row r="15" customFormat="false" ht="15" hidden="false" customHeight="false" outlineLevel="0" collapsed="false">
      <c r="B15" s="37" t="s">
        <v>189</v>
      </c>
      <c r="C15" s="38" t="s">
        <v>629</v>
      </c>
      <c r="D15" s="33"/>
      <c r="E15" s="33"/>
      <c r="F15" s="33"/>
    </row>
    <row r="16" customFormat="false" ht="15" hidden="false" customHeight="false" outlineLevel="0" collapsed="false">
      <c r="B16" s="32" t="s">
        <v>492</v>
      </c>
      <c r="C16" s="33" t="s">
        <v>630</v>
      </c>
      <c r="D16" s="25"/>
      <c r="E16" s="39" t="s">
        <v>250</v>
      </c>
      <c r="F16" s="44"/>
    </row>
    <row r="17" customFormat="false" ht="15" hidden="false" customHeight="false" outlineLevel="0" collapsed="false">
      <c r="B17" s="32" t="s">
        <v>495</v>
      </c>
      <c r="C17" s="33" t="s">
        <v>631</v>
      </c>
      <c r="D17" s="22" t="n">
        <f aca="false">'2-Page1'!$D$56</f>
        <v>0</v>
      </c>
      <c r="E17" s="35" t="s">
        <v>174</v>
      </c>
      <c r="F17" s="44" t="s">
        <v>632</v>
      </c>
    </row>
    <row r="18" customFormat="false" ht="15" hidden="false" customHeight="false" outlineLevel="0" collapsed="false">
      <c r="B18" s="32" t="s">
        <v>497</v>
      </c>
      <c r="C18" s="33" t="s">
        <v>633</v>
      </c>
      <c r="D18" s="25"/>
      <c r="E18" s="39" t="s">
        <v>250</v>
      </c>
      <c r="F18" s="44" t="s">
        <v>634</v>
      </c>
    </row>
    <row r="19" customFormat="false" ht="15" hidden="false" customHeight="false" outlineLevel="0" collapsed="false">
      <c r="B19" s="32" t="s">
        <v>499</v>
      </c>
      <c r="C19" s="33" t="s">
        <v>635</v>
      </c>
      <c r="D19" s="34" t="n">
        <f aca="false">IF(N(D6)&lt;0,-N(D6),0)</f>
        <v>0</v>
      </c>
      <c r="E19" s="35" t="s">
        <v>174</v>
      </c>
      <c r="F19" s="44" t="s">
        <v>636</v>
      </c>
    </row>
    <row r="20" customFormat="false" ht="15" hidden="false" customHeight="false" outlineLevel="0" collapsed="false">
      <c r="B20" s="32" t="s">
        <v>501</v>
      </c>
      <c r="C20" s="33" t="s">
        <v>637</v>
      </c>
      <c r="D20" s="25"/>
      <c r="E20" s="39" t="s">
        <v>250</v>
      </c>
      <c r="F20" s="44"/>
    </row>
    <row r="21" customFormat="false" ht="15" hidden="false" customHeight="false" outlineLevel="0" collapsed="false">
      <c r="B21" s="37" t="s">
        <v>189</v>
      </c>
      <c r="C21" s="38" t="s">
        <v>638</v>
      </c>
      <c r="D21" s="29" t="n">
        <f aca="false">SUM(D16:D20)</f>
        <v>0</v>
      </c>
      <c r="E21" s="33"/>
      <c r="F21" s="33"/>
    </row>
    <row r="22" customFormat="false" ht="15" hidden="false" customHeight="false" outlineLevel="0" collapsed="false">
      <c r="B22" s="37" t="s">
        <v>192</v>
      </c>
      <c r="C22" s="38" t="s">
        <v>639</v>
      </c>
      <c r="D22" s="29" t="n">
        <f aca="false">SUM(D11:D14)+D21</f>
        <v>0</v>
      </c>
      <c r="E22" s="33"/>
      <c r="F22" s="33"/>
    </row>
    <row r="23" customFormat="false" ht="15" hidden="false" customHeight="false" outlineLevel="0" collapsed="false">
      <c r="B23" s="37" t="s">
        <v>195</v>
      </c>
      <c r="C23" s="38" t="s">
        <v>640</v>
      </c>
      <c r="D23" s="33"/>
      <c r="E23" s="33"/>
      <c r="F23" s="33"/>
    </row>
    <row r="24" customFormat="false" ht="15" hidden="false" customHeight="false" outlineLevel="0" collapsed="false">
      <c r="B24" s="32" t="s">
        <v>641</v>
      </c>
      <c r="C24" s="33" t="s">
        <v>642</v>
      </c>
      <c r="D24" s="25"/>
      <c r="E24" s="39" t="s">
        <v>250</v>
      </c>
      <c r="F24" s="44"/>
    </row>
    <row r="25" customFormat="false" ht="15" hidden="false" customHeight="false" outlineLevel="0" collapsed="false">
      <c r="B25" s="32" t="s">
        <v>643</v>
      </c>
      <c r="C25" s="33" t="s">
        <v>644</v>
      </c>
      <c r="D25" s="34" t="n">
        <f aca="false">IF(N(D6)&gt;0,N(D6),0)</f>
        <v>0</v>
      </c>
      <c r="E25" s="35" t="s">
        <v>174</v>
      </c>
      <c r="F25" s="44" t="s">
        <v>645</v>
      </c>
    </row>
    <row r="26" customFormat="false" ht="30" hidden="false" customHeight="true" outlineLevel="0" collapsed="false">
      <c r="B26" s="32" t="s">
        <v>646</v>
      </c>
      <c r="C26" s="33" t="s">
        <v>647</v>
      </c>
      <c r="D26" s="22" t="n">
        <f aca="false">N('5-Investments'!$E$53)</f>
        <v>0</v>
      </c>
      <c r="E26" s="35" t="s">
        <v>174</v>
      </c>
      <c r="F26" s="44" t="s">
        <v>648</v>
      </c>
    </row>
    <row r="27" customFormat="false" ht="15" hidden="false" customHeight="false" outlineLevel="0" collapsed="false">
      <c r="B27" s="32" t="s">
        <v>649</v>
      </c>
      <c r="C27" s="33" t="s">
        <v>637</v>
      </c>
      <c r="D27" s="25"/>
      <c r="E27" s="39" t="s">
        <v>250</v>
      </c>
      <c r="F27" s="44"/>
    </row>
    <row r="28" customFormat="false" ht="15" hidden="false" customHeight="false" outlineLevel="0" collapsed="false">
      <c r="B28" s="37" t="s">
        <v>195</v>
      </c>
      <c r="C28" s="38" t="s">
        <v>650</v>
      </c>
      <c r="D28" s="29" t="n">
        <f aca="false">SUM(D24:D27)</f>
        <v>0</v>
      </c>
      <c r="E28" s="33"/>
      <c r="F28" s="33"/>
    </row>
    <row r="29" customFormat="false" ht="15" hidden="false" customHeight="false" outlineLevel="0" collapsed="false">
      <c r="B29" s="32" t="s">
        <v>198</v>
      </c>
      <c r="C29" s="33" t="s">
        <v>651</v>
      </c>
      <c r="D29" s="25"/>
      <c r="E29" s="39" t="s">
        <v>250</v>
      </c>
      <c r="F29" s="44"/>
    </row>
    <row r="30" customFormat="false" ht="15" hidden="false" customHeight="false" outlineLevel="0" collapsed="false">
      <c r="B30" s="37" t="s">
        <v>201</v>
      </c>
      <c r="C30" s="38" t="s">
        <v>652</v>
      </c>
      <c r="D30" s="29" t="n">
        <f aca="false">D28+D29</f>
        <v>0</v>
      </c>
      <c r="E30" s="33"/>
      <c r="F30" s="33"/>
    </row>
    <row r="31" customFormat="false" ht="15" hidden="false" customHeight="false" outlineLevel="0" collapsed="false">
      <c r="B31" s="37" t="s">
        <v>204</v>
      </c>
      <c r="C31" s="38" t="s">
        <v>653</v>
      </c>
      <c r="D31" s="29" t="n">
        <f aca="false">D22-D30</f>
        <v>0</v>
      </c>
      <c r="E31" s="33"/>
      <c r="F31" s="38" t="s">
        <v>654</v>
      </c>
    </row>
    <row r="32" customFormat="false" ht="15" hidden="false" customHeight="false" outlineLevel="0" collapsed="false">
      <c r="C32" s="33" t="s">
        <v>655</v>
      </c>
      <c r="D32" s="22" t="n">
        <f aca="false">'2-Page1'!$D$38</f>
        <v>0</v>
      </c>
      <c r="E32" s="37" t="str">
        <f aca="false">IF(AND(N(D31)=0,N(D32)=0),"—",IF(ABS(N(D31)-N(D32))&lt;0.005,"PASS","CHECK"))</f>
        <v>—</v>
      </c>
      <c r="F32" s="47" t="s">
        <v>656</v>
      </c>
    </row>
  </sheetData>
  <mergeCells count="6">
    <mergeCell ref="A1:F1"/>
    <mergeCell ref="A2:F2"/>
    <mergeCell ref="A4:F4"/>
    <mergeCell ref="C5:F5"/>
    <mergeCell ref="D7:F7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56"/>
  </cols>
  <sheetData>
    <row r="1" customFormat="false" ht="30" hidden="false" customHeight="true" outlineLevel="0" collapsed="false">
      <c r="A1" s="1" t="s">
        <v>657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658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28" t="s">
        <v>167</v>
      </c>
      <c r="C4" s="28" t="s">
        <v>168</v>
      </c>
      <c r="D4" s="28" t="s">
        <v>169</v>
      </c>
      <c r="E4" s="28" t="s">
        <v>170</v>
      </c>
      <c r="F4" s="28" t="s">
        <v>46</v>
      </c>
    </row>
    <row r="5" customFormat="false" ht="25.5" hidden="false" customHeight="true" outlineLevel="0" collapsed="false">
      <c r="B5" s="32" t="s">
        <v>308</v>
      </c>
      <c r="C5" s="33" t="s">
        <v>659</v>
      </c>
      <c r="D5" s="22" t="n">
        <f aca="false">N('0-Client'!$C$26)</f>
        <v>0</v>
      </c>
      <c r="E5" s="35" t="s">
        <v>660</v>
      </c>
      <c r="F5" s="44" t="s">
        <v>661</v>
      </c>
    </row>
    <row r="6" customFormat="false" ht="15" hidden="false" customHeight="false" outlineLevel="0" collapsed="false">
      <c r="B6" s="32" t="s">
        <v>181</v>
      </c>
      <c r="C6" s="33" t="s">
        <v>621</v>
      </c>
      <c r="D6" s="22" t="n">
        <f aca="false">'9-SchM1'!$D$11</f>
        <v>0</v>
      </c>
      <c r="E6" s="35" t="s">
        <v>662</v>
      </c>
      <c r="F6" s="36" t="s">
        <v>663</v>
      </c>
    </row>
    <row r="7" customFormat="false" ht="15" hidden="false" customHeight="false" outlineLevel="0" collapsed="false">
      <c r="B7" s="32" t="s">
        <v>184</v>
      </c>
      <c r="C7" s="33" t="s">
        <v>664</v>
      </c>
      <c r="D7" s="25"/>
      <c r="E7" s="39" t="s">
        <v>250</v>
      </c>
      <c r="F7" s="36" t="s">
        <v>665</v>
      </c>
    </row>
    <row r="8" customFormat="false" ht="15" hidden="false" customHeight="false" outlineLevel="0" collapsed="false">
      <c r="B8" s="37" t="s">
        <v>186</v>
      </c>
      <c r="C8" s="38" t="s">
        <v>666</v>
      </c>
      <c r="D8" s="29" t="n">
        <f aca="false">SUM(D5:D7)</f>
        <v>0</v>
      </c>
      <c r="E8" s="33"/>
      <c r="F8" s="33"/>
    </row>
    <row r="9" customFormat="false" ht="30" hidden="false" customHeight="true" outlineLevel="0" collapsed="false">
      <c r="B9" s="32" t="s">
        <v>492</v>
      </c>
      <c r="C9" s="33" t="s">
        <v>667</v>
      </c>
      <c r="D9" s="25"/>
      <c r="E9" s="39" t="s">
        <v>250</v>
      </c>
      <c r="F9" s="47" t="s">
        <v>668</v>
      </c>
    </row>
    <row r="10" customFormat="false" ht="15" hidden="false" customHeight="false" outlineLevel="0" collapsed="false">
      <c r="B10" s="32" t="s">
        <v>495</v>
      </c>
      <c r="C10" s="33" t="s">
        <v>669</v>
      </c>
      <c r="D10" s="25"/>
      <c r="E10" s="39" t="s">
        <v>250</v>
      </c>
      <c r="F10" s="36" t="s">
        <v>670</v>
      </c>
    </row>
    <row r="11" customFormat="false" ht="15" hidden="false" customHeight="false" outlineLevel="0" collapsed="false">
      <c r="B11" s="32" t="s">
        <v>497</v>
      </c>
      <c r="C11" s="33" t="s">
        <v>671</v>
      </c>
      <c r="D11" s="25"/>
      <c r="E11" s="39" t="s">
        <v>250</v>
      </c>
      <c r="F11" s="36" t="s">
        <v>670</v>
      </c>
    </row>
    <row r="12" customFormat="false" ht="30" hidden="false" customHeight="true" outlineLevel="0" collapsed="false">
      <c r="B12" s="32" t="s">
        <v>192</v>
      </c>
      <c r="C12" s="33" t="s">
        <v>672</v>
      </c>
      <c r="D12" s="25"/>
      <c r="E12" s="39" t="s">
        <v>250</v>
      </c>
      <c r="F12" s="44" t="s">
        <v>673</v>
      </c>
    </row>
    <row r="13" customFormat="false" ht="15" hidden="false" customHeight="false" outlineLevel="0" collapsed="false">
      <c r="B13" s="37" t="s">
        <v>195</v>
      </c>
      <c r="C13" s="38" t="s">
        <v>674</v>
      </c>
      <c r="D13" s="29" t="n">
        <f aca="false">SUM(D9:D12)</f>
        <v>0</v>
      </c>
      <c r="E13" s="33"/>
      <c r="F13" s="33"/>
    </row>
    <row r="14" customFormat="false" ht="15" hidden="false" customHeight="false" outlineLevel="0" collapsed="false">
      <c r="B14" s="37" t="s">
        <v>198</v>
      </c>
      <c r="C14" s="38" t="s">
        <v>675</v>
      </c>
      <c r="D14" s="29" t="n">
        <f aca="false">D8-D13</f>
        <v>0</v>
      </c>
      <c r="E14" s="33"/>
      <c r="F14" s="36" t="s">
        <v>676</v>
      </c>
    </row>
    <row r="16" customFormat="false" ht="30" hidden="false" customHeight="true" outlineLevel="0" collapsed="false">
      <c r="C16" s="33" t="s">
        <v>677</v>
      </c>
      <c r="D16" s="25"/>
      <c r="F16" s="44" t="s">
        <v>678</v>
      </c>
    </row>
    <row r="17" customFormat="false" ht="15" hidden="false" customHeight="false" outlineLevel="0" collapsed="false">
      <c r="C17" s="38" t="s">
        <v>679</v>
      </c>
      <c r="D17" s="29" t="n">
        <f aca="false">D14-N(D16)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680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681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28" t="s">
        <v>410</v>
      </c>
      <c r="C4" s="28" t="s">
        <v>682</v>
      </c>
      <c r="D4" s="28" t="s">
        <v>683</v>
      </c>
      <c r="E4" s="28" t="s">
        <v>684</v>
      </c>
      <c r="F4" s="28" t="s">
        <v>685</v>
      </c>
    </row>
    <row r="5" customFormat="false" ht="15" hidden="false" customHeight="false" outlineLevel="0" collapsed="false">
      <c r="B5" s="33" t="s">
        <v>686</v>
      </c>
      <c r="C5" s="22" t="n">
        <f aca="false">'9-SchM1'!$D$31</f>
        <v>0</v>
      </c>
      <c r="D5" s="22" t="n">
        <f aca="false">'2-Page1'!$D$38</f>
        <v>0</v>
      </c>
      <c r="E5" s="37" t="str">
        <f aca="false">IF(AND(N(C5)=0,N(D5)=0),"—",IF(ABS(N(C5)-N(D5))&lt;0.005,"PASS","CHECK"))</f>
        <v>—</v>
      </c>
      <c r="F5" s="44" t="s">
        <v>687</v>
      </c>
    </row>
    <row r="6" customFormat="false" ht="15" hidden="false" customHeight="false" outlineLevel="0" collapsed="false">
      <c r="B6" s="33" t="s">
        <v>688</v>
      </c>
      <c r="C6" s="22" t="n">
        <f aca="false">'9-SchM1'!$D$11</f>
        <v>0</v>
      </c>
      <c r="D6" s="22" t="n">
        <f aca="false">'10-SchM2'!$D$6</f>
        <v>0</v>
      </c>
      <c r="E6" s="37" t="str">
        <f aca="false">IF(AND(N(C6)=0,N(D6)=0),"—",IF(ABS(N(C6)-N(D6))&lt;0.005,"PASS","CHECK"))</f>
        <v>—</v>
      </c>
      <c r="F6" s="44" t="s">
        <v>689</v>
      </c>
    </row>
    <row r="7" customFormat="false" ht="15" hidden="false" customHeight="false" outlineLevel="0" collapsed="false">
      <c r="B7" s="33" t="s">
        <v>690</v>
      </c>
      <c r="C7" s="22" t="n">
        <f aca="false">'10-SchM2'!$D$14</f>
        <v>0</v>
      </c>
      <c r="D7" s="22" t="n">
        <f aca="false">'8-SchL'!$E$38</f>
        <v>0</v>
      </c>
      <c r="E7" s="37" t="str">
        <f aca="false">IF(AND(N(C7)=0,N(D7)=0),"—",IF(ABS(N(C7)-N(D7))&lt;0.005,"PASS","CHECK"))</f>
        <v>—</v>
      </c>
      <c r="F7" s="44" t="s">
        <v>691</v>
      </c>
    </row>
    <row r="8" customFormat="false" ht="15" hidden="false" customHeight="false" outlineLevel="0" collapsed="false">
      <c r="B8" s="33" t="s">
        <v>692</v>
      </c>
      <c r="C8" s="22" t="n">
        <f aca="false">'8-SchL'!$E$24</f>
        <v>0</v>
      </c>
      <c r="D8" s="22" t="n">
        <f aca="false">'8-SchL'!$E$41</f>
        <v>0</v>
      </c>
      <c r="E8" s="37" t="str">
        <f aca="false">IF(AND(N(C8)=0,N(D8)=0),"—",IF(ABS(N(C8)-N(D8))&lt;0.005,"PASS","CHECK"))</f>
        <v>—</v>
      </c>
      <c r="F8" s="44" t="s">
        <v>693</v>
      </c>
    </row>
    <row r="9" customFormat="false" ht="15" hidden="false" customHeight="false" outlineLevel="0" collapsed="false">
      <c r="B9" s="33" t="s">
        <v>694</v>
      </c>
      <c r="C9" s="22" t="n">
        <f aca="false">'8-SchL'!$D$24</f>
        <v>0</v>
      </c>
      <c r="D9" s="22" t="n">
        <f aca="false">'8-SchL'!$D$41</f>
        <v>0</v>
      </c>
      <c r="E9" s="37" t="str">
        <f aca="false">IF(AND(N(C9)=0,N(D9)=0),"—",IF(ABS(N(C9)-N(D9))&lt;0.005,"PASS","CHECK"))</f>
        <v>—</v>
      </c>
      <c r="F9" s="44" t="s">
        <v>695</v>
      </c>
    </row>
    <row r="10" customFormat="false" ht="15" hidden="false" customHeight="false" outlineLevel="0" collapsed="false">
      <c r="B10" s="33" t="s">
        <v>696</v>
      </c>
      <c r="C10" s="22" t="n">
        <f aca="false">'8-SchL'!$D$24</f>
        <v>0</v>
      </c>
      <c r="D10" s="22" t="n">
        <f aca="false">'0-Client'!$C$27</f>
        <v>0</v>
      </c>
      <c r="E10" s="37" t="str">
        <f aca="false">IF(AND(N(C10)=0,N(D10)=0),"—",IF(ABS(N(C10)-N(D10))&lt;0.005,"PASS","CHECK"))</f>
        <v>—</v>
      </c>
      <c r="F10" s="44" t="s">
        <v>697</v>
      </c>
    </row>
    <row r="11" customFormat="false" ht="15" hidden="false" customHeight="false" outlineLevel="0" collapsed="false">
      <c r="B11" s="33" t="s">
        <v>698</v>
      </c>
      <c r="C11" s="22" t="n">
        <f aca="false">'2-Page1'!$D$11</f>
        <v>0</v>
      </c>
      <c r="D11" s="22" t="n">
        <f aca="false">'3-SchC'!$D$42</f>
        <v>0</v>
      </c>
      <c r="E11" s="37" t="str">
        <f aca="false">IF(AND(N(C11)=0,N(D11)=0),"—",IF(ABS(N(C11)-N(D11))&lt;0.005,"PASS","CHECK"))</f>
        <v>—</v>
      </c>
      <c r="F11" s="44" t="s">
        <v>699</v>
      </c>
    </row>
    <row r="12" customFormat="false" ht="15" hidden="false" customHeight="false" outlineLevel="0" collapsed="false">
      <c r="B12" s="33" t="s">
        <v>700</v>
      </c>
      <c r="C12" s="22" t="n">
        <f aca="false">'2-Page1'!$D$40</f>
        <v>0</v>
      </c>
      <c r="D12" s="22" t="n">
        <f aca="false">'3-SchC'!$F$43</f>
        <v>0</v>
      </c>
      <c r="E12" s="37" t="str">
        <f aca="false">IF(AND(N(C12)=0,N(D12)=0),"—",IF(ABS(N(C12)-N(D12))&lt;0.005,"PASS","CHECK"))</f>
        <v>—</v>
      </c>
      <c r="F12" s="44" t="s">
        <v>699</v>
      </c>
    </row>
    <row r="13" customFormat="false" ht="15" hidden="false" customHeight="false" outlineLevel="0" collapsed="false">
      <c r="B13" s="33" t="s">
        <v>701</v>
      </c>
      <c r="C13" s="22" t="n">
        <f aca="false">'2-Page1'!$D$15</f>
        <v>0</v>
      </c>
      <c r="D13" s="22" t="n">
        <f aca="false">'4-SchD'!$F$30</f>
        <v>0</v>
      </c>
      <c r="E13" s="37" t="str">
        <f aca="false">IF(AND(N(C13)=0,N(D13)=0),"—",IF(ABS(N(C13)-N(D13))&lt;0.005,"PASS","CHECK"))</f>
        <v>—</v>
      </c>
      <c r="F13" s="44" t="s">
        <v>702</v>
      </c>
    </row>
    <row r="14" customFormat="false" ht="15" hidden="false" customHeight="false" outlineLevel="0" collapsed="false">
      <c r="B14" s="33" t="s">
        <v>703</v>
      </c>
      <c r="C14" s="22" t="n">
        <f aca="false">'2-Page1'!$D$45</f>
        <v>0</v>
      </c>
      <c r="D14" s="22" t="n">
        <f aca="false">'6-SchJ'!$D$20</f>
        <v>0</v>
      </c>
      <c r="E14" s="37" t="str">
        <f aca="false">IF(AND(N(C14)=0,N(D14)=0),"—",IF(ABS(N(C14)-N(D14))&lt;0.005,"PASS","CHECK"))</f>
        <v>—</v>
      </c>
      <c r="F14" s="44" t="s">
        <v>704</v>
      </c>
    </row>
    <row r="15" customFormat="false" ht="15" hidden="false" customHeight="false" outlineLevel="0" collapsed="false">
      <c r="B15" s="33" t="s">
        <v>705</v>
      </c>
      <c r="C15" s="22" t="n">
        <f aca="false">'5-Investments'!$E$20</f>
        <v>0</v>
      </c>
      <c r="D15" s="22" t="n">
        <f aca="false">'5-Investments'!$E$19</f>
        <v>0</v>
      </c>
      <c r="E15" s="37" t="str">
        <f aca="false">IF(AND(N(C15)=0,N(D15)=0),"—",IF(ABS(N(C15)-N(D15))&lt;0.005,"PASS","CHECK"))</f>
        <v>—</v>
      </c>
      <c r="F15" s="44" t="s">
        <v>706</v>
      </c>
    </row>
    <row r="16" customFormat="false" ht="30" hidden="false" customHeight="true" outlineLevel="0" collapsed="false">
      <c r="B16" s="33" t="s">
        <v>707</v>
      </c>
      <c r="C16" s="22" t="n">
        <f aca="false">'5-Investments'!$E$19</f>
        <v>0</v>
      </c>
      <c r="D16" s="22" t="n">
        <f aca="false">'8-SchL'!$E$15</f>
        <v>0</v>
      </c>
      <c r="E16" s="37" t="str">
        <f aca="false">IF(AND(N(C16)=0,N(D16)=0),"—",IF(ABS(N(C16)-N(D16))&lt;0.005,"PASS","CHECK"))</f>
        <v>—</v>
      </c>
      <c r="F16" s="44" t="s">
        <v>708</v>
      </c>
    </row>
    <row r="18" customFormat="false" ht="18.75" hidden="false" customHeight="true" outlineLevel="0" collapsed="false">
      <c r="A18" s="11" t="s">
        <v>709</v>
      </c>
      <c r="B18" s="11"/>
      <c r="C18" s="11"/>
      <c r="D18" s="11"/>
      <c r="E18" s="11"/>
      <c r="F18" s="11"/>
    </row>
    <row r="19" customFormat="false" ht="27.75" hidden="false" customHeight="true" outlineLevel="0" collapsed="false">
      <c r="B19" s="19"/>
      <c r="C19" s="4" t="s">
        <v>710</v>
      </c>
      <c r="D19" s="4"/>
      <c r="E19" s="4"/>
      <c r="F19" s="4"/>
    </row>
    <row r="20" customFormat="false" ht="39.75" hidden="false" customHeight="true" outlineLevel="0" collapsed="false">
      <c r="B20" s="19"/>
      <c r="C20" s="4" t="s">
        <v>711</v>
      </c>
      <c r="D20" s="4"/>
      <c r="E20" s="4"/>
      <c r="F20" s="4"/>
    </row>
    <row r="21" customFormat="false" ht="27.75" hidden="false" customHeight="true" outlineLevel="0" collapsed="false">
      <c r="B21" s="19"/>
      <c r="C21" s="4" t="s">
        <v>712</v>
      </c>
      <c r="D21" s="4"/>
      <c r="E21" s="4"/>
      <c r="F21" s="4"/>
    </row>
    <row r="22" customFormat="false" ht="27.75" hidden="false" customHeight="true" outlineLevel="0" collapsed="false">
      <c r="B22" s="19"/>
      <c r="C22" s="4" t="s">
        <v>713</v>
      </c>
      <c r="D22" s="4"/>
      <c r="E22" s="4"/>
      <c r="F22" s="4"/>
    </row>
    <row r="23" customFormat="false" ht="39.75" hidden="false" customHeight="true" outlineLevel="0" collapsed="false">
      <c r="B23" s="19"/>
      <c r="C23" s="4" t="s">
        <v>714</v>
      </c>
      <c r="D23" s="4"/>
      <c r="E23" s="4"/>
      <c r="F23" s="4"/>
    </row>
    <row r="24" customFormat="false" ht="27.75" hidden="false" customHeight="true" outlineLevel="0" collapsed="false">
      <c r="B24" s="19"/>
      <c r="C24" s="4" t="s">
        <v>715</v>
      </c>
      <c r="D24" s="4"/>
      <c r="E24" s="4"/>
      <c r="F24" s="4"/>
    </row>
    <row r="25" customFormat="false" ht="27.75" hidden="false" customHeight="true" outlineLevel="0" collapsed="false">
      <c r="B25" s="19"/>
      <c r="C25" s="4" t="s">
        <v>716</v>
      </c>
      <c r="D25" s="4"/>
      <c r="E25" s="4"/>
      <c r="F25" s="4"/>
    </row>
    <row r="26" customFormat="false" ht="27.75" hidden="false" customHeight="true" outlineLevel="0" collapsed="false">
      <c r="B26" s="19"/>
      <c r="C26" s="4" t="s">
        <v>717</v>
      </c>
      <c r="D26" s="4"/>
      <c r="E26" s="4"/>
      <c r="F26" s="4"/>
    </row>
    <row r="27" customFormat="false" ht="27.75" hidden="false" customHeight="true" outlineLevel="0" collapsed="false">
      <c r="B27" s="19"/>
      <c r="C27" s="4" t="s">
        <v>718</v>
      </c>
      <c r="D27" s="4"/>
      <c r="E27" s="4"/>
      <c r="F27" s="4"/>
    </row>
  </sheetData>
  <mergeCells count="12">
    <mergeCell ref="A1:F1"/>
    <mergeCell ref="A2:F2"/>
    <mergeCell ref="A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58"/>
  </cols>
  <sheetData>
    <row r="1" customFormat="false" ht="30" hidden="false" customHeight="true" outlineLevel="0" collapsed="false">
      <c r="A1" s="1" t="s">
        <v>719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720</v>
      </c>
      <c r="B2" s="2"/>
      <c r="C2" s="2"/>
      <c r="D2" s="2"/>
      <c r="E2" s="2"/>
    </row>
    <row r="4" customFormat="false" ht="30" hidden="false" customHeight="true" outlineLevel="0" collapsed="false">
      <c r="B4" s="4" t="s">
        <v>721</v>
      </c>
      <c r="C4" s="4"/>
      <c r="D4" s="4"/>
      <c r="E4" s="4"/>
    </row>
    <row r="5" customFormat="false" ht="15" hidden="false" customHeight="false" outlineLevel="0" collapsed="false">
      <c r="B5" s="28" t="s">
        <v>722</v>
      </c>
      <c r="C5" s="28" t="s">
        <v>723</v>
      </c>
      <c r="D5" s="28" t="s">
        <v>724</v>
      </c>
      <c r="E5" s="28" t="s">
        <v>725</v>
      </c>
    </row>
    <row r="6" customFormat="false" ht="30" hidden="false" customHeight="true" outlineLevel="0" collapsed="false">
      <c r="B6" s="33" t="s">
        <v>726</v>
      </c>
      <c r="C6" s="22" t="n">
        <f aca="false">'10-SchM2'!$D$14</f>
        <v>0</v>
      </c>
      <c r="D6" s="35" t="s">
        <v>727</v>
      </c>
      <c r="E6" s="44" t="s">
        <v>728</v>
      </c>
    </row>
    <row r="7" customFormat="false" ht="15" hidden="false" customHeight="false" outlineLevel="0" collapsed="false">
      <c r="B7" s="33" t="s">
        <v>729</v>
      </c>
      <c r="C7" s="22" t="n">
        <f aca="false">'8-SchL'!$E$24</f>
        <v>0</v>
      </c>
      <c r="D7" s="35" t="s">
        <v>727</v>
      </c>
      <c r="E7" s="44" t="s">
        <v>730</v>
      </c>
    </row>
    <row r="8" customFormat="false" ht="30" hidden="false" customHeight="true" outlineLevel="0" collapsed="false">
      <c r="B8" s="33" t="s">
        <v>731</v>
      </c>
      <c r="C8" s="22" t="n">
        <f aca="false">'4-SchD'!$F$40</f>
        <v>0</v>
      </c>
      <c r="D8" s="54" t="s">
        <v>732</v>
      </c>
      <c r="E8" s="44" t="s">
        <v>733</v>
      </c>
    </row>
    <row r="9" customFormat="false" ht="15" hidden="false" customHeight="false" outlineLevel="0" collapsed="false">
      <c r="B9" s="33" t="s">
        <v>734</v>
      </c>
      <c r="C9" s="19"/>
      <c r="D9" s="54" t="s">
        <v>732</v>
      </c>
      <c r="E9" s="44" t="s">
        <v>735</v>
      </c>
    </row>
    <row r="10" customFormat="false" ht="15" hidden="false" customHeight="false" outlineLevel="0" collapsed="false">
      <c r="B10" s="33" t="s">
        <v>736</v>
      </c>
      <c r="C10" s="25"/>
      <c r="D10" s="54" t="s">
        <v>732</v>
      </c>
      <c r="E10" s="44" t="s">
        <v>737</v>
      </c>
    </row>
    <row r="11" customFormat="false" ht="15" hidden="false" customHeight="false" outlineLevel="0" collapsed="false">
      <c r="B11" s="33" t="s">
        <v>738</v>
      </c>
      <c r="C11" s="22" t="n">
        <f aca="false">'2-Page1'!$D$56</f>
        <v>0</v>
      </c>
      <c r="D11" s="54" t="s">
        <v>732</v>
      </c>
      <c r="E11" s="44" t="s">
        <v>739</v>
      </c>
    </row>
    <row r="12" customFormat="false" ht="15" hidden="false" customHeight="false" outlineLevel="0" collapsed="false">
      <c r="B12" s="33" t="s">
        <v>740</v>
      </c>
      <c r="C12" s="22" t="n">
        <f aca="false">'5-Investments'!$E$35</f>
        <v>0</v>
      </c>
      <c r="D12" s="54" t="s">
        <v>732</v>
      </c>
      <c r="E12" s="44" t="s">
        <v>741</v>
      </c>
    </row>
    <row r="13" customFormat="false" ht="15" hidden="false" customHeight="false" outlineLevel="0" collapsed="false">
      <c r="B13" s="33" t="s">
        <v>742</v>
      </c>
      <c r="C13" s="22" t="n">
        <f aca="false">'5-Investments'!$E$37</f>
        <v>0</v>
      </c>
      <c r="D13" s="54" t="s">
        <v>732</v>
      </c>
      <c r="E13" s="44"/>
    </row>
    <row r="14" customFormat="false" ht="15" hidden="false" customHeight="false" outlineLevel="0" collapsed="false">
      <c r="B14" s="33" t="s">
        <v>743</v>
      </c>
      <c r="C14" s="22" t="n">
        <f aca="false">'5-Investments'!$E$38</f>
        <v>0</v>
      </c>
      <c r="D14" s="54" t="s">
        <v>732</v>
      </c>
      <c r="E14" s="44"/>
    </row>
    <row r="15" customFormat="false" ht="30" hidden="false" customHeight="true" outlineLevel="0" collapsed="false">
      <c r="B15" s="33" t="s">
        <v>744</v>
      </c>
      <c r="C15" s="22" t="n">
        <f aca="false">'5-Investments'!$E$54</f>
        <v>0</v>
      </c>
      <c r="D15" s="54" t="s">
        <v>732</v>
      </c>
      <c r="E15" s="44" t="s">
        <v>745</v>
      </c>
    </row>
    <row r="16" customFormat="false" ht="15" hidden="false" customHeight="false" outlineLevel="0" collapsed="false">
      <c r="B16" s="33" t="s">
        <v>746</v>
      </c>
      <c r="C16" s="25"/>
      <c r="D16" s="54" t="s">
        <v>732</v>
      </c>
      <c r="E16" s="44" t="s">
        <v>747</v>
      </c>
    </row>
    <row r="17" customFormat="false" ht="15" hidden="false" customHeight="false" outlineLevel="0" collapsed="false">
      <c r="B17" s="33" t="s">
        <v>748</v>
      </c>
      <c r="C17" s="19"/>
      <c r="D17" s="54" t="s">
        <v>732</v>
      </c>
      <c r="E17" s="44" t="s">
        <v>749</v>
      </c>
    </row>
    <row r="18" customFormat="false" ht="30" hidden="false" customHeight="true" outlineLevel="0" collapsed="false">
      <c r="B18" s="33" t="s">
        <v>750</v>
      </c>
      <c r="C18" s="19"/>
      <c r="D18" s="35" t="s">
        <v>751</v>
      </c>
      <c r="E18" s="44" t="s">
        <v>752</v>
      </c>
    </row>
    <row r="19" customFormat="false" ht="30" hidden="false" customHeight="true" outlineLevel="0" collapsed="false">
      <c r="B19" s="33" t="s">
        <v>753</v>
      </c>
      <c r="C19" s="19"/>
      <c r="D19" s="35" t="s">
        <v>727</v>
      </c>
      <c r="E19" s="44" t="s">
        <v>754</v>
      </c>
    </row>
    <row r="20" customFormat="false" ht="15" hidden="false" customHeight="false" outlineLevel="0" collapsed="false">
      <c r="B20" s="33" t="s">
        <v>755</v>
      </c>
      <c r="C20" s="19"/>
      <c r="D20" s="35" t="s">
        <v>482</v>
      </c>
      <c r="E20" s="44" t="s">
        <v>756</v>
      </c>
    </row>
    <row r="22" customFormat="false" ht="18.75" hidden="false" customHeight="true" outlineLevel="0" collapsed="false">
      <c r="A22" s="13" t="s">
        <v>757</v>
      </c>
      <c r="B22" s="13"/>
      <c r="C22" s="13"/>
      <c r="D22" s="13"/>
      <c r="E22" s="13"/>
    </row>
    <row r="23" customFormat="false" ht="43.5" hidden="false" customHeight="true" outlineLevel="0" collapsed="false">
      <c r="B23" s="4" t="s">
        <v>758</v>
      </c>
      <c r="C23" s="4"/>
      <c r="D23" s="4"/>
      <c r="E23" s="4"/>
    </row>
  </sheetData>
  <mergeCells count="5">
    <mergeCell ref="A1:E1"/>
    <mergeCell ref="A2:E2"/>
    <mergeCell ref="B4:E4"/>
    <mergeCell ref="A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2026-09-09T22:00:43Z</dcterms:created>
  <dc:creator>openpyxl</dc:creator>
  <dc:description/>
  <dc:language>en-US</dc:language>
  <cp:lastModifiedBy/>
  <dcterms:modified xsi:type="dcterms:W3CDTF">2026-09-09T22:00:43Z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